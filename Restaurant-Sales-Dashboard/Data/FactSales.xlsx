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b9b506ff76d93/Documents/SQL Learning/Projects/Project 001 — Restaurant Analytics Dashboard for Small Businesses/Github/"/>
    </mc:Choice>
  </mc:AlternateContent>
  <xr:revisionPtr revIDLastSave="0" documentId="8_{D225E2BC-DF1A-4F22-902B-53444E902AAD}" xr6:coauthVersionLast="47" xr6:coauthVersionMax="47" xr10:uidLastSave="{00000000-0000-0000-0000-000000000000}"/>
  <bookViews>
    <workbookView xWindow="-98" yWindow="-98" windowWidth="21795" windowHeight="13695" xr2:uid="{2F31ED0E-62DE-4D7F-A30B-145ECFDAE0AA}"/>
  </bookViews>
  <sheets>
    <sheet name="FactSales" sheetId="1" r:id="rId1"/>
  </sheets>
  <externalReferences>
    <externalReference r:id="rId2"/>
  </externalReferences>
  <definedNames>
    <definedName name="rng_AverageOrderValue">[1]Dashboard_Data!$B$6</definedName>
    <definedName name="rng_GrossProfit">[1]Dashboard_Data!$B$3</definedName>
    <definedName name="rng_ProfitMargin">[1]Dashboard_Data!$B$4</definedName>
    <definedName name="rng_TotalOrders">[1]Dashboard_Data!$B$5</definedName>
    <definedName name="rng_TotalSales">[1]Dashboard_Data!$B$2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67" i="1" l="1"/>
  <c r="T167" i="1"/>
  <c r="O167" i="1"/>
  <c r="N167" i="1"/>
  <c r="M167" i="1"/>
  <c r="L167" i="1"/>
  <c r="W166" i="1"/>
  <c r="U166" i="1"/>
  <c r="T166" i="1"/>
  <c r="O166" i="1"/>
  <c r="N166" i="1"/>
  <c r="M166" i="1"/>
  <c r="L166" i="1"/>
  <c r="W165" i="1"/>
  <c r="U165" i="1"/>
  <c r="T165" i="1"/>
  <c r="O165" i="1"/>
  <c r="N165" i="1"/>
  <c r="M165" i="1"/>
  <c r="L165" i="1"/>
  <c r="W164" i="1"/>
  <c r="U164" i="1"/>
  <c r="T164" i="1"/>
  <c r="O164" i="1"/>
  <c r="N164" i="1"/>
  <c r="M164" i="1"/>
  <c r="L164" i="1"/>
  <c r="V164" i="1" s="1"/>
  <c r="W163" i="1"/>
  <c r="U163" i="1"/>
  <c r="T163" i="1"/>
  <c r="O163" i="1"/>
  <c r="N163" i="1"/>
  <c r="M163" i="1"/>
  <c r="L163" i="1"/>
  <c r="W162" i="1"/>
  <c r="U162" i="1"/>
  <c r="T162" i="1"/>
  <c r="O162" i="1"/>
  <c r="N162" i="1"/>
  <c r="M162" i="1"/>
  <c r="L162" i="1"/>
  <c r="W161" i="1"/>
  <c r="T161" i="1"/>
  <c r="O161" i="1"/>
  <c r="N161" i="1"/>
  <c r="M161" i="1"/>
  <c r="L161" i="1"/>
  <c r="W160" i="1"/>
  <c r="T160" i="1"/>
  <c r="O160" i="1"/>
  <c r="N160" i="1"/>
  <c r="M160" i="1"/>
  <c r="L160" i="1"/>
  <c r="W159" i="1"/>
  <c r="T159" i="1"/>
  <c r="O159" i="1"/>
  <c r="N159" i="1"/>
  <c r="M159" i="1"/>
  <c r="L159" i="1"/>
  <c r="W158" i="1"/>
  <c r="U158" i="1"/>
  <c r="T158" i="1"/>
  <c r="O158" i="1"/>
  <c r="N158" i="1"/>
  <c r="M158" i="1"/>
  <c r="L158" i="1"/>
  <c r="W157" i="1"/>
  <c r="U157" i="1"/>
  <c r="T157" i="1"/>
  <c r="O157" i="1"/>
  <c r="N157" i="1"/>
  <c r="M157" i="1"/>
  <c r="L157" i="1"/>
  <c r="W156" i="1"/>
  <c r="U156" i="1"/>
  <c r="T156" i="1"/>
  <c r="O156" i="1"/>
  <c r="N156" i="1"/>
  <c r="M156" i="1"/>
  <c r="L156" i="1"/>
  <c r="W155" i="1"/>
  <c r="U155" i="1"/>
  <c r="T155" i="1"/>
  <c r="O155" i="1"/>
  <c r="N155" i="1"/>
  <c r="M155" i="1"/>
  <c r="L155" i="1"/>
  <c r="W154" i="1"/>
  <c r="U154" i="1"/>
  <c r="T154" i="1"/>
  <c r="O154" i="1"/>
  <c r="N154" i="1"/>
  <c r="M154" i="1"/>
  <c r="L154" i="1"/>
  <c r="W153" i="1"/>
  <c r="T153" i="1"/>
  <c r="O153" i="1"/>
  <c r="N153" i="1"/>
  <c r="M153" i="1"/>
  <c r="L153" i="1"/>
  <c r="W152" i="1"/>
  <c r="T152" i="1"/>
  <c r="O152" i="1"/>
  <c r="N152" i="1"/>
  <c r="M152" i="1"/>
  <c r="L152" i="1"/>
  <c r="W151" i="1"/>
  <c r="T151" i="1"/>
  <c r="O151" i="1"/>
  <c r="N151" i="1"/>
  <c r="M151" i="1"/>
  <c r="L151" i="1"/>
  <c r="W150" i="1"/>
  <c r="T150" i="1"/>
  <c r="O150" i="1"/>
  <c r="N150" i="1"/>
  <c r="M150" i="1"/>
  <c r="L150" i="1"/>
  <c r="W149" i="1"/>
  <c r="U149" i="1"/>
  <c r="T149" i="1"/>
  <c r="O149" i="1"/>
  <c r="N149" i="1"/>
  <c r="M149" i="1"/>
  <c r="L149" i="1"/>
  <c r="W148" i="1"/>
  <c r="U148" i="1"/>
  <c r="T148" i="1"/>
  <c r="O148" i="1"/>
  <c r="N148" i="1"/>
  <c r="M148" i="1"/>
  <c r="L148" i="1"/>
  <c r="W147" i="1"/>
  <c r="U147" i="1"/>
  <c r="T147" i="1"/>
  <c r="O147" i="1"/>
  <c r="N147" i="1"/>
  <c r="M147" i="1"/>
  <c r="L147" i="1"/>
  <c r="W146" i="1"/>
  <c r="U146" i="1"/>
  <c r="T146" i="1"/>
  <c r="O146" i="1"/>
  <c r="N146" i="1"/>
  <c r="M146" i="1"/>
  <c r="L146" i="1"/>
  <c r="W145" i="1"/>
  <c r="T145" i="1"/>
  <c r="O145" i="1"/>
  <c r="N145" i="1"/>
  <c r="M145" i="1"/>
  <c r="L145" i="1"/>
  <c r="W144" i="1"/>
  <c r="T144" i="1"/>
  <c r="O144" i="1"/>
  <c r="N144" i="1"/>
  <c r="M144" i="1"/>
  <c r="L144" i="1"/>
  <c r="W143" i="1"/>
  <c r="T143" i="1"/>
  <c r="O143" i="1"/>
  <c r="N143" i="1"/>
  <c r="M143" i="1"/>
  <c r="L143" i="1"/>
  <c r="W142" i="1"/>
  <c r="U142" i="1"/>
  <c r="T142" i="1"/>
  <c r="O142" i="1"/>
  <c r="N142" i="1"/>
  <c r="M142" i="1"/>
  <c r="L142" i="1"/>
  <c r="W141" i="1"/>
  <c r="U141" i="1"/>
  <c r="T141" i="1"/>
  <c r="O141" i="1"/>
  <c r="N141" i="1"/>
  <c r="M141" i="1"/>
  <c r="L141" i="1"/>
  <c r="W140" i="1"/>
  <c r="U140" i="1"/>
  <c r="T140" i="1"/>
  <c r="O140" i="1"/>
  <c r="N140" i="1"/>
  <c r="M140" i="1"/>
  <c r="L140" i="1"/>
  <c r="W139" i="1"/>
  <c r="U139" i="1"/>
  <c r="T139" i="1"/>
  <c r="O139" i="1"/>
  <c r="N139" i="1"/>
  <c r="M139" i="1"/>
  <c r="L139" i="1"/>
  <c r="W138" i="1"/>
  <c r="U138" i="1"/>
  <c r="T138" i="1"/>
  <c r="O138" i="1"/>
  <c r="N138" i="1"/>
  <c r="M138" i="1"/>
  <c r="L138" i="1"/>
  <c r="W137" i="1"/>
  <c r="T137" i="1"/>
  <c r="O137" i="1"/>
  <c r="N137" i="1"/>
  <c r="M137" i="1"/>
  <c r="L137" i="1"/>
  <c r="W136" i="1"/>
  <c r="T136" i="1"/>
  <c r="O136" i="1"/>
  <c r="N136" i="1"/>
  <c r="M136" i="1"/>
  <c r="L136" i="1"/>
  <c r="W135" i="1"/>
  <c r="T135" i="1"/>
  <c r="O135" i="1"/>
  <c r="N135" i="1"/>
  <c r="M135" i="1"/>
  <c r="L135" i="1"/>
  <c r="W134" i="1"/>
  <c r="U134" i="1"/>
  <c r="T134" i="1"/>
  <c r="O134" i="1"/>
  <c r="N134" i="1"/>
  <c r="M134" i="1"/>
  <c r="L134" i="1"/>
  <c r="W133" i="1"/>
  <c r="U133" i="1"/>
  <c r="T133" i="1"/>
  <c r="O133" i="1"/>
  <c r="N133" i="1"/>
  <c r="M133" i="1"/>
  <c r="L133" i="1"/>
  <c r="W132" i="1"/>
  <c r="U132" i="1"/>
  <c r="T132" i="1"/>
  <c r="O132" i="1"/>
  <c r="N132" i="1"/>
  <c r="M132" i="1"/>
  <c r="L132" i="1"/>
  <c r="W131" i="1"/>
  <c r="U131" i="1"/>
  <c r="T131" i="1"/>
  <c r="O131" i="1"/>
  <c r="N131" i="1"/>
  <c r="M131" i="1"/>
  <c r="L131" i="1"/>
  <c r="W130" i="1"/>
  <c r="U130" i="1"/>
  <c r="T130" i="1"/>
  <c r="O130" i="1"/>
  <c r="N130" i="1"/>
  <c r="M130" i="1"/>
  <c r="L130" i="1"/>
  <c r="W129" i="1"/>
  <c r="T129" i="1"/>
  <c r="O129" i="1"/>
  <c r="N129" i="1"/>
  <c r="M129" i="1"/>
  <c r="L129" i="1"/>
  <c r="W128" i="1"/>
  <c r="T128" i="1"/>
  <c r="O128" i="1"/>
  <c r="N128" i="1"/>
  <c r="M128" i="1"/>
  <c r="L128" i="1"/>
  <c r="W127" i="1"/>
  <c r="T127" i="1"/>
  <c r="O127" i="1"/>
  <c r="N127" i="1"/>
  <c r="M127" i="1"/>
  <c r="L127" i="1"/>
  <c r="W126" i="1"/>
  <c r="T126" i="1"/>
  <c r="O126" i="1"/>
  <c r="N126" i="1"/>
  <c r="M126" i="1"/>
  <c r="L126" i="1"/>
  <c r="W125" i="1"/>
  <c r="U125" i="1"/>
  <c r="T125" i="1"/>
  <c r="O125" i="1"/>
  <c r="N125" i="1"/>
  <c r="M125" i="1"/>
  <c r="L125" i="1"/>
  <c r="W124" i="1"/>
  <c r="U124" i="1"/>
  <c r="T124" i="1"/>
  <c r="O124" i="1"/>
  <c r="N124" i="1"/>
  <c r="M124" i="1"/>
  <c r="L124" i="1"/>
  <c r="W123" i="1"/>
  <c r="U123" i="1"/>
  <c r="T123" i="1"/>
  <c r="O123" i="1"/>
  <c r="N123" i="1"/>
  <c r="M123" i="1"/>
  <c r="L123" i="1"/>
  <c r="W122" i="1"/>
  <c r="U122" i="1"/>
  <c r="T122" i="1"/>
  <c r="O122" i="1"/>
  <c r="N122" i="1"/>
  <c r="M122" i="1"/>
  <c r="L122" i="1"/>
  <c r="W121" i="1"/>
  <c r="T121" i="1"/>
  <c r="O121" i="1"/>
  <c r="N121" i="1"/>
  <c r="M121" i="1"/>
  <c r="L121" i="1"/>
  <c r="U121" i="1" s="1"/>
  <c r="W120" i="1"/>
  <c r="T120" i="1"/>
  <c r="O120" i="1"/>
  <c r="N120" i="1"/>
  <c r="M120" i="1"/>
  <c r="L120" i="1"/>
  <c r="W119" i="1"/>
  <c r="T119" i="1"/>
  <c r="O119" i="1"/>
  <c r="N119" i="1"/>
  <c r="M119" i="1"/>
  <c r="L119" i="1"/>
  <c r="W118" i="1"/>
  <c r="U118" i="1"/>
  <c r="T118" i="1"/>
  <c r="O118" i="1"/>
  <c r="N118" i="1"/>
  <c r="M118" i="1"/>
  <c r="L118" i="1"/>
  <c r="W117" i="1"/>
  <c r="U117" i="1"/>
  <c r="T117" i="1"/>
  <c r="O117" i="1"/>
  <c r="N117" i="1"/>
  <c r="M117" i="1"/>
  <c r="L117" i="1"/>
  <c r="W116" i="1"/>
  <c r="U116" i="1"/>
  <c r="T116" i="1"/>
  <c r="O116" i="1"/>
  <c r="N116" i="1"/>
  <c r="M116" i="1"/>
  <c r="L116" i="1"/>
  <c r="W115" i="1"/>
  <c r="U115" i="1"/>
  <c r="T115" i="1"/>
  <c r="O115" i="1"/>
  <c r="N115" i="1"/>
  <c r="M115" i="1"/>
  <c r="L115" i="1"/>
  <c r="W114" i="1"/>
  <c r="U114" i="1"/>
  <c r="T114" i="1"/>
  <c r="O114" i="1"/>
  <c r="N114" i="1"/>
  <c r="M114" i="1"/>
  <c r="L114" i="1"/>
  <c r="W113" i="1"/>
  <c r="T113" i="1"/>
  <c r="O113" i="1"/>
  <c r="N113" i="1"/>
  <c r="M113" i="1"/>
  <c r="L113" i="1"/>
  <c r="W112" i="1"/>
  <c r="T112" i="1"/>
  <c r="O112" i="1"/>
  <c r="N112" i="1"/>
  <c r="M112" i="1"/>
  <c r="L112" i="1"/>
  <c r="W111" i="1"/>
  <c r="T111" i="1"/>
  <c r="O111" i="1"/>
  <c r="N111" i="1"/>
  <c r="M111" i="1"/>
  <c r="L111" i="1"/>
  <c r="W110" i="1"/>
  <c r="U110" i="1"/>
  <c r="T110" i="1"/>
  <c r="O110" i="1"/>
  <c r="N110" i="1"/>
  <c r="M110" i="1"/>
  <c r="L110" i="1"/>
  <c r="W109" i="1"/>
  <c r="U109" i="1"/>
  <c r="T109" i="1"/>
  <c r="O109" i="1"/>
  <c r="N109" i="1"/>
  <c r="M109" i="1"/>
  <c r="L109" i="1"/>
  <c r="W108" i="1"/>
  <c r="T108" i="1"/>
  <c r="O108" i="1"/>
  <c r="N108" i="1"/>
  <c r="M108" i="1"/>
  <c r="L108" i="1"/>
  <c r="W107" i="1"/>
  <c r="U107" i="1"/>
  <c r="T107" i="1"/>
  <c r="O107" i="1"/>
  <c r="N107" i="1"/>
  <c r="M107" i="1"/>
  <c r="L107" i="1"/>
  <c r="W106" i="1"/>
  <c r="U106" i="1"/>
  <c r="T106" i="1"/>
  <c r="O106" i="1"/>
  <c r="N106" i="1"/>
  <c r="M106" i="1"/>
  <c r="L106" i="1"/>
  <c r="W105" i="1"/>
  <c r="U105" i="1"/>
  <c r="T105" i="1"/>
  <c r="O105" i="1"/>
  <c r="N105" i="1"/>
  <c r="M105" i="1"/>
  <c r="L105" i="1"/>
  <c r="W104" i="1"/>
  <c r="T104" i="1"/>
  <c r="O104" i="1"/>
  <c r="N104" i="1"/>
  <c r="M104" i="1"/>
  <c r="L104" i="1"/>
  <c r="W103" i="1"/>
  <c r="T103" i="1"/>
  <c r="O103" i="1"/>
  <c r="N103" i="1"/>
  <c r="M103" i="1"/>
  <c r="L103" i="1"/>
  <c r="W102" i="1"/>
  <c r="T102" i="1"/>
  <c r="O102" i="1"/>
  <c r="N102" i="1"/>
  <c r="M102" i="1"/>
  <c r="L102" i="1"/>
  <c r="W101" i="1"/>
  <c r="U101" i="1"/>
  <c r="T101" i="1"/>
  <c r="O101" i="1"/>
  <c r="N101" i="1"/>
  <c r="M101" i="1"/>
  <c r="L101" i="1"/>
  <c r="W100" i="1"/>
  <c r="T100" i="1"/>
  <c r="O100" i="1"/>
  <c r="N100" i="1"/>
  <c r="M100" i="1"/>
  <c r="L100" i="1"/>
  <c r="W99" i="1"/>
  <c r="U99" i="1"/>
  <c r="T99" i="1"/>
  <c r="O99" i="1"/>
  <c r="N99" i="1"/>
  <c r="M99" i="1"/>
  <c r="L99" i="1"/>
  <c r="W98" i="1"/>
  <c r="U98" i="1"/>
  <c r="T98" i="1"/>
  <c r="O98" i="1"/>
  <c r="N98" i="1"/>
  <c r="M98" i="1"/>
  <c r="L98" i="1"/>
  <c r="W97" i="1"/>
  <c r="U97" i="1"/>
  <c r="T97" i="1"/>
  <c r="O97" i="1"/>
  <c r="N97" i="1"/>
  <c r="M97" i="1"/>
  <c r="L97" i="1"/>
  <c r="W96" i="1"/>
  <c r="T96" i="1"/>
  <c r="O96" i="1"/>
  <c r="N96" i="1"/>
  <c r="M96" i="1"/>
  <c r="L96" i="1"/>
  <c r="W95" i="1"/>
  <c r="T95" i="1"/>
  <c r="O95" i="1"/>
  <c r="N95" i="1"/>
  <c r="M95" i="1"/>
  <c r="L95" i="1"/>
  <c r="W94" i="1"/>
  <c r="T94" i="1"/>
  <c r="O94" i="1"/>
  <c r="N94" i="1"/>
  <c r="M94" i="1"/>
  <c r="L94" i="1"/>
  <c r="W93" i="1"/>
  <c r="U93" i="1"/>
  <c r="T93" i="1"/>
  <c r="O93" i="1"/>
  <c r="N93" i="1"/>
  <c r="M93" i="1"/>
  <c r="L93" i="1"/>
  <c r="W92" i="1"/>
  <c r="U92" i="1"/>
  <c r="T92" i="1"/>
  <c r="O92" i="1"/>
  <c r="N92" i="1"/>
  <c r="M92" i="1"/>
  <c r="L92" i="1"/>
  <c r="W91" i="1"/>
  <c r="U91" i="1"/>
  <c r="T91" i="1"/>
  <c r="O91" i="1"/>
  <c r="N91" i="1"/>
  <c r="M91" i="1"/>
  <c r="L91" i="1"/>
  <c r="W90" i="1"/>
  <c r="U90" i="1"/>
  <c r="T90" i="1"/>
  <c r="O90" i="1"/>
  <c r="N90" i="1"/>
  <c r="M90" i="1"/>
  <c r="L90" i="1"/>
  <c r="W89" i="1"/>
  <c r="U89" i="1"/>
  <c r="T89" i="1"/>
  <c r="O89" i="1"/>
  <c r="N89" i="1"/>
  <c r="M89" i="1"/>
  <c r="L89" i="1"/>
  <c r="W88" i="1"/>
  <c r="T88" i="1"/>
  <c r="O88" i="1"/>
  <c r="N88" i="1"/>
  <c r="M88" i="1"/>
  <c r="L88" i="1"/>
  <c r="W87" i="1"/>
  <c r="T87" i="1"/>
  <c r="O87" i="1"/>
  <c r="N87" i="1"/>
  <c r="M87" i="1"/>
  <c r="L87" i="1"/>
  <c r="W86" i="1"/>
  <c r="U86" i="1"/>
  <c r="T86" i="1"/>
  <c r="O86" i="1"/>
  <c r="N86" i="1"/>
  <c r="M86" i="1"/>
  <c r="L86" i="1"/>
  <c r="W85" i="1"/>
  <c r="U85" i="1"/>
  <c r="T85" i="1"/>
  <c r="O85" i="1"/>
  <c r="N85" i="1"/>
  <c r="M85" i="1"/>
  <c r="L85" i="1"/>
  <c r="W84" i="1"/>
  <c r="U84" i="1"/>
  <c r="T84" i="1"/>
  <c r="O84" i="1"/>
  <c r="N84" i="1"/>
  <c r="M84" i="1"/>
  <c r="L84" i="1"/>
  <c r="W83" i="1"/>
  <c r="U83" i="1"/>
  <c r="T83" i="1"/>
  <c r="O83" i="1"/>
  <c r="N83" i="1"/>
  <c r="M83" i="1"/>
  <c r="L83" i="1"/>
  <c r="W82" i="1"/>
  <c r="U82" i="1"/>
  <c r="V82" i="1" s="1"/>
  <c r="T82" i="1"/>
  <c r="O82" i="1"/>
  <c r="N82" i="1"/>
  <c r="M82" i="1"/>
  <c r="L82" i="1"/>
  <c r="W81" i="1"/>
  <c r="U81" i="1"/>
  <c r="V81" i="1" s="1"/>
  <c r="T81" i="1"/>
  <c r="O81" i="1"/>
  <c r="N81" i="1"/>
  <c r="M81" i="1"/>
  <c r="L81" i="1"/>
  <c r="W80" i="1"/>
  <c r="U80" i="1"/>
  <c r="V80" i="1" s="1"/>
  <c r="T80" i="1"/>
  <c r="O80" i="1"/>
  <c r="N80" i="1"/>
  <c r="M80" i="1"/>
  <c r="L80" i="1"/>
  <c r="W79" i="1"/>
  <c r="U79" i="1"/>
  <c r="V79" i="1" s="1"/>
  <c r="T79" i="1"/>
  <c r="O79" i="1"/>
  <c r="N79" i="1"/>
  <c r="M79" i="1"/>
  <c r="L79" i="1"/>
  <c r="W78" i="1"/>
  <c r="U78" i="1"/>
  <c r="V78" i="1" s="1"/>
  <c r="T78" i="1"/>
  <c r="O78" i="1"/>
  <c r="N78" i="1"/>
  <c r="M78" i="1"/>
  <c r="L78" i="1"/>
  <c r="W77" i="1"/>
  <c r="U77" i="1"/>
  <c r="V77" i="1" s="1"/>
  <c r="T77" i="1"/>
  <c r="O77" i="1"/>
  <c r="N77" i="1"/>
  <c r="M77" i="1"/>
  <c r="L77" i="1"/>
  <c r="W76" i="1"/>
  <c r="U76" i="1"/>
  <c r="V76" i="1" s="1"/>
  <c r="T76" i="1"/>
  <c r="O76" i="1"/>
  <c r="N76" i="1"/>
  <c r="M76" i="1"/>
  <c r="L76" i="1"/>
  <c r="W75" i="1"/>
  <c r="U75" i="1"/>
  <c r="V75" i="1" s="1"/>
  <c r="T75" i="1"/>
  <c r="O75" i="1"/>
  <c r="N75" i="1"/>
  <c r="M75" i="1"/>
  <c r="L75" i="1"/>
  <c r="W74" i="1"/>
  <c r="U74" i="1"/>
  <c r="V74" i="1" s="1"/>
  <c r="T74" i="1"/>
  <c r="O74" i="1"/>
  <c r="N74" i="1"/>
  <c r="M74" i="1"/>
  <c r="L74" i="1"/>
  <c r="W73" i="1"/>
  <c r="U73" i="1"/>
  <c r="V73" i="1" s="1"/>
  <c r="T73" i="1"/>
  <c r="O73" i="1"/>
  <c r="N73" i="1"/>
  <c r="M73" i="1"/>
  <c r="L73" i="1"/>
  <c r="W72" i="1"/>
  <c r="U72" i="1"/>
  <c r="V72" i="1" s="1"/>
  <c r="T72" i="1"/>
  <c r="O72" i="1"/>
  <c r="N72" i="1"/>
  <c r="M72" i="1"/>
  <c r="L72" i="1"/>
  <c r="W71" i="1"/>
  <c r="U71" i="1"/>
  <c r="V71" i="1" s="1"/>
  <c r="T71" i="1"/>
  <c r="O71" i="1"/>
  <c r="N71" i="1"/>
  <c r="M71" i="1"/>
  <c r="L71" i="1"/>
  <c r="W70" i="1"/>
  <c r="U70" i="1"/>
  <c r="V70" i="1" s="1"/>
  <c r="T70" i="1"/>
  <c r="O70" i="1"/>
  <c r="N70" i="1"/>
  <c r="M70" i="1"/>
  <c r="L70" i="1"/>
  <c r="W69" i="1"/>
  <c r="U69" i="1"/>
  <c r="V69" i="1" s="1"/>
  <c r="T69" i="1"/>
  <c r="O69" i="1"/>
  <c r="N69" i="1"/>
  <c r="M69" i="1"/>
  <c r="L69" i="1"/>
  <c r="W68" i="1"/>
  <c r="U68" i="1"/>
  <c r="V68" i="1" s="1"/>
  <c r="T68" i="1"/>
  <c r="O68" i="1"/>
  <c r="N68" i="1"/>
  <c r="M68" i="1"/>
  <c r="L68" i="1"/>
  <c r="W67" i="1"/>
  <c r="U67" i="1"/>
  <c r="V67" i="1" s="1"/>
  <c r="T67" i="1"/>
  <c r="O67" i="1"/>
  <c r="N67" i="1"/>
  <c r="M67" i="1"/>
  <c r="L67" i="1"/>
  <c r="W66" i="1"/>
  <c r="U66" i="1"/>
  <c r="V66" i="1" s="1"/>
  <c r="T66" i="1"/>
  <c r="O66" i="1"/>
  <c r="N66" i="1"/>
  <c r="M66" i="1"/>
  <c r="L66" i="1"/>
  <c r="W65" i="1"/>
  <c r="U65" i="1"/>
  <c r="V65" i="1" s="1"/>
  <c r="T65" i="1"/>
  <c r="O65" i="1"/>
  <c r="N65" i="1"/>
  <c r="M65" i="1"/>
  <c r="L65" i="1"/>
  <c r="W64" i="1"/>
  <c r="U64" i="1"/>
  <c r="V64" i="1" s="1"/>
  <c r="T64" i="1"/>
  <c r="O64" i="1"/>
  <c r="N64" i="1"/>
  <c r="M64" i="1"/>
  <c r="L64" i="1"/>
  <c r="W63" i="1"/>
  <c r="U63" i="1"/>
  <c r="V63" i="1" s="1"/>
  <c r="T63" i="1"/>
  <c r="O63" i="1"/>
  <c r="N63" i="1"/>
  <c r="M63" i="1"/>
  <c r="L63" i="1"/>
  <c r="W62" i="1"/>
  <c r="U62" i="1"/>
  <c r="V62" i="1" s="1"/>
  <c r="T62" i="1"/>
  <c r="O62" i="1"/>
  <c r="N62" i="1"/>
  <c r="M62" i="1"/>
  <c r="L62" i="1"/>
  <c r="W61" i="1"/>
  <c r="U61" i="1"/>
  <c r="V61" i="1" s="1"/>
  <c r="T61" i="1"/>
  <c r="O61" i="1"/>
  <c r="N61" i="1"/>
  <c r="M61" i="1"/>
  <c r="L61" i="1"/>
  <c r="W60" i="1"/>
  <c r="U60" i="1"/>
  <c r="V60" i="1" s="1"/>
  <c r="T60" i="1"/>
  <c r="O60" i="1"/>
  <c r="N60" i="1"/>
  <c r="M60" i="1"/>
  <c r="L60" i="1"/>
  <c r="W59" i="1"/>
  <c r="U59" i="1"/>
  <c r="V59" i="1" s="1"/>
  <c r="T59" i="1"/>
  <c r="O59" i="1"/>
  <c r="N59" i="1"/>
  <c r="M59" i="1"/>
  <c r="L59" i="1"/>
  <c r="W58" i="1"/>
  <c r="U58" i="1"/>
  <c r="V58" i="1" s="1"/>
  <c r="T58" i="1"/>
  <c r="O58" i="1"/>
  <c r="N58" i="1"/>
  <c r="M58" i="1"/>
  <c r="L58" i="1"/>
  <c r="W57" i="1"/>
  <c r="U57" i="1"/>
  <c r="V57" i="1" s="1"/>
  <c r="T57" i="1"/>
  <c r="O57" i="1"/>
  <c r="N57" i="1"/>
  <c r="M57" i="1"/>
  <c r="L57" i="1"/>
  <c r="W56" i="1"/>
  <c r="U56" i="1"/>
  <c r="V56" i="1" s="1"/>
  <c r="T56" i="1"/>
  <c r="O56" i="1"/>
  <c r="N56" i="1"/>
  <c r="M56" i="1"/>
  <c r="L56" i="1"/>
  <c r="W55" i="1"/>
  <c r="U55" i="1"/>
  <c r="V55" i="1" s="1"/>
  <c r="T55" i="1"/>
  <c r="O55" i="1"/>
  <c r="N55" i="1"/>
  <c r="M55" i="1"/>
  <c r="L55" i="1"/>
  <c r="W54" i="1"/>
  <c r="U54" i="1"/>
  <c r="V54" i="1" s="1"/>
  <c r="T54" i="1"/>
  <c r="O54" i="1"/>
  <c r="N54" i="1"/>
  <c r="M54" i="1"/>
  <c r="L54" i="1"/>
  <c r="W53" i="1"/>
  <c r="U53" i="1"/>
  <c r="V53" i="1" s="1"/>
  <c r="T53" i="1"/>
  <c r="O53" i="1"/>
  <c r="N53" i="1"/>
  <c r="M53" i="1"/>
  <c r="L53" i="1"/>
  <c r="W52" i="1"/>
  <c r="U52" i="1"/>
  <c r="V52" i="1" s="1"/>
  <c r="T52" i="1"/>
  <c r="O52" i="1"/>
  <c r="N52" i="1"/>
  <c r="M52" i="1"/>
  <c r="L52" i="1"/>
  <c r="W51" i="1"/>
  <c r="U51" i="1"/>
  <c r="V51" i="1" s="1"/>
  <c r="T51" i="1"/>
  <c r="O51" i="1"/>
  <c r="N51" i="1"/>
  <c r="M51" i="1"/>
  <c r="L51" i="1"/>
  <c r="W50" i="1"/>
  <c r="U50" i="1"/>
  <c r="V50" i="1" s="1"/>
  <c r="T50" i="1"/>
  <c r="O50" i="1"/>
  <c r="N50" i="1"/>
  <c r="M50" i="1"/>
  <c r="L50" i="1"/>
  <c r="W49" i="1"/>
  <c r="U49" i="1"/>
  <c r="V49" i="1" s="1"/>
  <c r="T49" i="1"/>
  <c r="O49" i="1"/>
  <c r="N49" i="1"/>
  <c r="M49" i="1"/>
  <c r="L49" i="1"/>
  <c r="W48" i="1"/>
  <c r="U48" i="1"/>
  <c r="V48" i="1" s="1"/>
  <c r="T48" i="1"/>
  <c r="O48" i="1"/>
  <c r="N48" i="1"/>
  <c r="M48" i="1"/>
  <c r="L48" i="1"/>
  <c r="W47" i="1"/>
  <c r="U47" i="1"/>
  <c r="V47" i="1" s="1"/>
  <c r="T47" i="1"/>
  <c r="O47" i="1"/>
  <c r="N47" i="1"/>
  <c r="M47" i="1"/>
  <c r="L47" i="1"/>
  <c r="W46" i="1"/>
  <c r="U46" i="1"/>
  <c r="V46" i="1" s="1"/>
  <c r="T46" i="1"/>
  <c r="O46" i="1"/>
  <c r="N46" i="1"/>
  <c r="M46" i="1"/>
  <c r="L46" i="1"/>
  <c r="W45" i="1"/>
  <c r="U45" i="1"/>
  <c r="V45" i="1" s="1"/>
  <c r="T45" i="1"/>
  <c r="O45" i="1"/>
  <c r="N45" i="1"/>
  <c r="M45" i="1"/>
  <c r="L45" i="1"/>
  <c r="W44" i="1"/>
  <c r="U44" i="1"/>
  <c r="V44" i="1" s="1"/>
  <c r="T44" i="1"/>
  <c r="O44" i="1"/>
  <c r="N44" i="1"/>
  <c r="M44" i="1"/>
  <c r="L44" i="1"/>
  <c r="W43" i="1"/>
  <c r="U43" i="1"/>
  <c r="V43" i="1" s="1"/>
  <c r="T43" i="1"/>
  <c r="O43" i="1"/>
  <c r="N43" i="1"/>
  <c r="M43" i="1"/>
  <c r="L43" i="1"/>
  <c r="W42" i="1"/>
  <c r="U42" i="1"/>
  <c r="V42" i="1" s="1"/>
  <c r="T42" i="1"/>
  <c r="O42" i="1"/>
  <c r="N42" i="1"/>
  <c r="M42" i="1"/>
  <c r="L42" i="1"/>
  <c r="W41" i="1"/>
  <c r="U41" i="1"/>
  <c r="V41" i="1" s="1"/>
  <c r="T41" i="1"/>
  <c r="O41" i="1"/>
  <c r="N41" i="1"/>
  <c r="M41" i="1"/>
  <c r="L41" i="1"/>
  <c r="W40" i="1"/>
  <c r="U40" i="1"/>
  <c r="V40" i="1" s="1"/>
  <c r="T40" i="1"/>
  <c r="O40" i="1"/>
  <c r="N40" i="1"/>
  <c r="M40" i="1"/>
  <c r="L40" i="1"/>
  <c r="W39" i="1"/>
  <c r="U39" i="1"/>
  <c r="V39" i="1" s="1"/>
  <c r="T39" i="1"/>
  <c r="O39" i="1"/>
  <c r="N39" i="1"/>
  <c r="M39" i="1"/>
  <c r="L39" i="1"/>
  <c r="W38" i="1"/>
  <c r="U38" i="1"/>
  <c r="V38" i="1" s="1"/>
  <c r="T38" i="1"/>
  <c r="O38" i="1"/>
  <c r="N38" i="1"/>
  <c r="M38" i="1"/>
  <c r="L38" i="1"/>
  <c r="W37" i="1"/>
  <c r="U37" i="1"/>
  <c r="V37" i="1" s="1"/>
  <c r="T37" i="1"/>
  <c r="O37" i="1"/>
  <c r="N37" i="1"/>
  <c r="M37" i="1"/>
  <c r="L37" i="1"/>
  <c r="W36" i="1"/>
  <c r="U36" i="1"/>
  <c r="V36" i="1" s="1"/>
  <c r="T36" i="1"/>
  <c r="O36" i="1"/>
  <c r="N36" i="1"/>
  <c r="M36" i="1"/>
  <c r="L36" i="1"/>
  <c r="W35" i="1"/>
  <c r="U35" i="1"/>
  <c r="V35" i="1" s="1"/>
  <c r="T35" i="1"/>
  <c r="O35" i="1"/>
  <c r="N35" i="1"/>
  <c r="M35" i="1"/>
  <c r="L35" i="1"/>
  <c r="W34" i="1"/>
  <c r="U34" i="1"/>
  <c r="V34" i="1" s="1"/>
  <c r="T34" i="1"/>
  <c r="O34" i="1"/>
  <c r="N34" i="1"/>
  <c r="M34" i="1"/>
  <c r="L34" i="1"/>
  <c r="W33" i="1"/>
  <c r="U33" i="1"/>
  <c r="V33" i="1" s="1"/>
  <c r="T33" i="1"/>
  <c r="O33" i="1"/>
  <c r="N33" i="1"/>
  <c r="M33" i="1"/>
  <c r="L33" i="1"/>
  <c r="W32" i="1"/>
  <c r="U32" i="1"/>
  <c r="V32" i="1" s="1"/>
  <c r="T32" i="1"/>
  <c r="O32" i="1"/>
  <c r="N32" i="1"/>
  <c r="M32" i="1"/>
  <c r="L32" i="1"/>
  <c r="W31" i="1"/>
  <c r="U31" i="1"/>
  <c r="V31" i="1" s="1"/>
  <c r="T31" i="1"/>
  <c r="O31" i="1"/>
  <c r="N31" i="1"/>
  <c r="M31" i="1"/>
  <c r="L31" i="1"/>
  <c r="W30" i="1"/>
  <c r="U30" i="1"/>
  <c r="V30" i="1" s="1"/>
  <c r="T30" i="1"/>
  <c r="O30" i="1"/>
  <c r="N30" i="1"/>
  <c r="M30" i="1"/>
  <c r="L30" i="1"/>
  <c r="W29" i="1"/>
  <c r="U29" i="1"/>
  <c r="V29" i="1" s="1"/>
  <c r="T29" i="1"/>
  <c r="O29" i="1"/>
  <c r="N29" i="1"/>
  <c r="M29" i="1"/>
  <c r="L29" i="1"/>
  <c r="W28" i="1"/>
  <c r="U28" i="1"/>
  <c r="V28" i="1" s="1"/>
  <c r="T28" i="1"/>
  <c r="O28" i="1"/>
  <c r="N28" i="1"/>
  <c r="M28" i="1"/>
  <c r="L28" i="1"/>
  <c r="W27" i="1"/>
  <c r="U27" i="1"/>
  <c r="V27" i="1" s="1"/>
  <c r="T27" i="1"/>
  <c r="O27" i="1"/>
  <c r="N27" i="1"/>
  <c r="M27" i="1"/>
  <c r="L27" i="1"/>
  <c r="W26" i="1"/>
  <c r="U26" i="1"/>
  <c r="V26" i="1" s="1"/>
  <c r="T26" i="1"/>
  <c r="O26" i="1"/>
  <c r="N26" i="1"/>
  <c r="M26" i="1"/>
  <c r="L26" i="1"/>
  <c r="W25" i="1"/>
  <c r="U25" i="1"/>
  <c r="V25" i="1" s="1"/>
  <c r="T25" i="1"/>
  <c r="O25" i="1"/>
  <c r="N25" i="1"/>
  <c r="M25" i="1"/>
  <c r="L25" i="1"/>
  <c r="W24" i="1"/>
  <c r="U24" i="1"/>
  <c r="V24" i="1" s="1"/>
  <c r="T24" i="1"/>
  <c r="O24" i="1"/>
  <c r="N24" i="1"/>
  <c r="M24" i="1"/>
  <c r="L24" i="1"/>
  <c r="W23" i="1"/>
  <c r="U23" i="1"/>
  <c r="V23" i="1" s="1"/>
  <c r="T23" i="1"/>
  <c r="O23" i="1"/>
  <c r="N23" i="1"/>
  <c r="M23" i="1"/>
  <c r="L23" i="1"/>
  <c r="W22" i="1"/>
  <c r="U22" i="1"/>
  <c r="V22" i="1" s="1"/>
  <c r="T22" i="1"/>
  <c r="O22" i="1"/>
  <c r="N22" i="1"/>
  <c r="M22" i="1"/>
  <c r="L22" i="1"/>
  <c r="W21" i="1"/>
  <c r="U21" i="1"/>
  <c r="V21" i="1" s="1"/>
  <c r="T21" i="1"/>
  <c r="O21" i="1"/>
  <c r="N21" i="1"/>
  <c r="M21" i="1"/>
  <c r="L21" i="1"/>
  <c r="W20" i="1"/>
  <c r="U20" i="1"/>
  <c r="V20" i="1" s="1"/>
  <c r="T20" i="1"/>
  <c r="O20" i="1"/>
  <c r="N20" i="1"/>
  <c r="M20" i="1"/>
  <c r="L20" i="1"/>
  <c r="W19" i="1"/>
  <c r="U19" i="1"/>
  <c r="V19" i="1" s="1"/>
  <c r="T19" i="1"/>
  <c r="O19" i="1"/>
  <c r="N19" i="1"/>
  <c r="M19" i="1"/>
  <c r="L19" i="1"/>
  <c r="W18" i="1"/>
  <c r="U18" i="1"/>
  <c r="V18" i="1" s="1"/>
  <c r="T18" i="1"/>
  <c r="O18" i="1"/>
  <c r="N18" i="1"/>
  <c r="M18" i="1"/>
  <c r="L18" i="1"/>
  <c r="W17" i="1"/>
  <c r="U17" i="1"/>
  <c r="V17" i="1" s="1"/>
  <c r="T17" i="1"/>
  <c r="O17" i="1"/>
  <c r="N17" i="1"/>
  <c r="M17" i="1"/>
  <c r="L17" i="1"/>
  <c r="W16" i="1"/>
  <c r="U16" i="1"/>
  <c r="V16" i="1" s="1"/>
  <c r="T16" i="1"/>
  <c r="O16" i="1"/>
  <c r="N16" i="1"/>
  <c r="M16" i="1"/>
  <c r="L16" i="1"/>
  <c r="W15" i="1"/>
  <c r="U15" i="1"/>
  <c r="V15" i="1" s="1"/>
  <c r="T15" i="1"/>
  <c r="O15" i="1"/>
  <c r="N15" i="1"/>
  <c r="M15" i="1"/>
  <c r="L15" i="1"/>
  <c r="W14" i="1"/>
  <c r="U14" i="1"/>
  <c r="V14" i="1" s="1"/>
  <c r="T14" i="1"/>
  <c r="O14" i="1"/>
  <c r="N14" i="1"/>
  <c r="M14" i="1"/>
  <c r="L14" i="1"/>
  <c r="W13" i="1"/>
  <c r="U13" i="1"/>
  <c r="V13" i="1" s="1"/>
  <c r="T13" i="1"/>
  <c r="O13" i="1"/>
  <c r="N13" i="1"/>
  <c r="M13" i="1"/>
  <c r="L13" i="1"/>
  <c r="W12" i="1"/>
  <c r="U12" i="1"/>
  <c r="V12" i="1" s="1"/>
  <c r="T12" i="1"/>
  <c r="O12" i="1"/>
  <c r="N12" i="1"/>
  <c r="M12" i="1"/>
  <c r="L12" i="1"/>
  <c r="W11" i="1"/>
  <c r="U11" i="1"/>
  <c r="V11" i="1" s="1"/>
  <c r="T11" i="1"/>
  <c r="O11" i="1"/>
  <c r="N11" i="1"/>
  <c r="M11" i="1"/>
  <c r="L11" i="1"/>
  <c r="W10" i="1"/>
  <c r="U10" i="1"/>
  <c r="V10" i="1" s="1"/>
  <c r="T10" i="1"/>
  <c r="O10" i="1"/>
  <c r="N10" i="1"/>
  <c r="M10" i="1"/>
  <c r="L10" i="1"/>
  <c r="W9" i="1"/>
  <c r="U9" i="1"/>
  <c r="V9" i="1" s="1"/>
  <c r="T9" i="1"/>
  <c r="O9" i="1"/>
  <c r="N9" i="1"/>
  <c r="M9" i="1"/>
  <c r="L9" i="1"/>
  <c r="W8" i="1"/>
  <c r="U8" i="1"/>
  <c r="V8" i="1" s="1"/>
  <c r="T8" i="1"/>
  <c r="O8" i="1"/>
  <c r="N8" i="1"/>
  <c r="M8" i="1"/>
  <c r="L8" i="1"/>
  <c r="W7" i="1"/>
  <c r="U7" i="1"/>
  <c r="V7" i="1" s="1"/>
  <c r="T7" i="1"/>
  <c r="O7" i="1"/>
  <c r="N7" i="1"/>
  <c r="M7" i="1"/>
  <c r="L7" i="1"/>
  <c r="W6" i="1"/>
  <c r="U6" i="1"/>
  <c r="V6" i="1" s="1"/>
  <c r="T6" i="1"/>
  <c r="O6" i="1"/>
  <c r="N6" i="1"/>
  <c r="M6" i="1"/>
  <c r="L6" i="1"/>
  <c r="W5" i="1"/>
  <c r="U5" i="1"/>
  <c r="V5" i="1" s="1"/>
  <c r="T5" i="1"/>
  <c r="O5" i="1"/>
  <c r="N5" i="1"/>
  <c r="M5" i="1"/>
  <c r="L5" i="1"/>
  <c r="W4" i="1"/>
  <c r="U4" i="1"/>
  <c r="V4" i="1" s="1"/>
  <c r="T4" i="1"/>
  <c r="O4" i="1"/>
  <c r="N4" i="1"/>
  <c r="M4" i="1"/>
  <c r="L4" i="1"/>
  <c r="W3" i="1"/>
  <c r="U3" i="1"/>
  <c r="V3" i="1" s="1"/>
  <c r="T3" i="1"/>
  <c r="O3" i="1"/>
  <c r="N3" i="1"/>
  <c r="M3" i="1"/>
  <c r="L3" i="1"/>
  <c r="W2" i="1"/>
  <c r="U2" i="1"/>
  <c r="V2" i="1" s="1"/>
  <c r="T2" i="1"/>
  <c r="O2" i="1"/>
  <c r="N2" i="1"/>
  <c r="M2" i="1"/>
  <c r="L2" i="1"/>
  <c r="U151" i="1" l="1"/>
  <c r="V151" i="1" s="1"/>
  <c r="U88" i="1"/>
  <c r="V88" i="1" s="1"/>
  <c r="U95" i="1"/>
  <c r="V95" i="1" s="1"/>
  <c r="U137" i="1"/>
  <c r="V137" i="1" s="1"/>
  <c r="U167" i="1"/>
  <c r="V167" i="1" s="1"/>
  <c r="U119" i="1"/>
  <c r="V119" i="1" s="1"/>
  <c r="U143" i="1"/>
  <c r="V143" i="1" s="1"/>
  <c r="V160" i="1"/>
  <c r="U160" i="1"/>
  <c r="V166" i="1"/>
  <c r="V86" i="1"/>
  <c r="V92" i="1"/>
  <c r="V118" i="1"/>
  <c r="U136" i="1"/>
  <c r="V136" i="1" s="1"/>
  <c r="V142" i="1"/>
  <c r="U153" i="1"/>
  <c r="V153" i="1" s="1"/>
  <c r="V97" i="1"/>
  <c r="U108" i="1"/>
  <c r="V108" i="1" s="1"/>
  <c r="U159" i="1"/>
  <c r="V159" i="1" s="1"/>
  <c r="U120" i="1"/>
  <c r="V120" i="1" s="1"/>
  <c r="V94" i="1"/>
  <c r="V126" i="1"/>
  <c r="U87" i="1"/>
  <c r="V87" i="1" s="1"/>
  <c r="U102" i="1"/>
  <c r="V102" i="1" s="1"/>
  <c r="U111" i="1"/>
  <c r="V111" i="1" s="1"/>
  <c r="V84" i="1"/>
  <c r="V110" i="1"/>
  <c r="U113" i="1"/>
  <c r="V113" i="1" s="1"/>
  <c r="V116" i="1"/>
  <c r="U135" i="1"/>
  <c r="V135" i="1" s="1"/>
  <c r="U150" i="1"/>
  <c r="V150" i="1" s="1"/>
  <c r="U152" i="1"/>
  <c r="V152" i="1" s="1"/>
  <c r="V158" i="1"/>
  <c r="V127" i="1"/>
  <c r="U127" i="1"/>
  <c r="U144" i="1"/>
  <c r="V144" i="1" s="1"/>
  <c r="U161" i="1"/>
  <c r="V161" i="1" s="1"/>
  <c r="V105" i="1"/>
  <c r="U112" i="1"/>
  <c r="V112" i="1" s="1"/>
  <c r="U104" i="1"/>
  <c r="V104" i="1" s="1"/>
  <c r="V129" i="1"/>
  <c r="U129" i="1"/>
  <c r="V89" i="1"/>
  <c r="U94" i="1"/>
  <c r="U96" i="1"/>
  <c r="V96" i="1" s="1"/>
  <c r="U100" i="1"/>
  <c r="V100" i="1" s="1"/>
  <c r="U103" i="1"/>
  <c r="V103" i="1" s="1"/>
  <c r="V121" i="1"/>
  <c r="U126" i="1"/>
  <c r="U128" i="1"/>
  <c r="V128" i="1" s="1"/>
  <c r="V134" i="1"/>
  <c r="U145" i="1"/>
  <c r="V145" i="1" s="1"/>
  <c r="V85" i="1"/>
  <c r="V93" i="1"/>
  <c r="V101" i="1"/>
  <c r="V109" i="1"/>
  <c r="V117" i="1"/>
  <c r="V125" i="1"/>
  <c r="V133" i="1"/>
  <c r="V141" i="1"/>
  <c r="V149" i="1"/>
  <c r="V157" i="1"/>
  <c r="V165" i="1"/>
  <c r="V124" i="1"/>
  <c r="V132" i="1"/>
  <c r="V140" i="1"/>
  <c r="V148" i="1"/>
  <c r="V156" i="1"/>
  <c r="V83" i="1"/>
  <c r="V91" i="1"/>
  <c r="V99" i="1"/>
  <c r="V107" i="1"/>
  <c r="V115" i="1"/>
  <c r="V123" i="1"/>
  <c r="V131" i="1"/>
  <c r="V139" i="1"/>
  <c r="V147" i="1"/>
  <c r="V155" i="1"/>
  <c r="V163" i="1"/>
  <c r="V90" i="1"/>
  <c r="V98" i="1"/>
  <c r="V106" i="1"/>
  <c r="V114" i="1"/>
  <c r="V122" i="1"/>
  <c r="V130" i="1"/>
  <c r="V138" i="1"/>
  <c r="V146" i="1"/>
  <c r="V154" i="1"/>
  <c r="V16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ThisWorkbookDataModel"/>
    <s v="[Measures].[Total Sales]"/>
    <s v="{[DimProducts].[Category].[All]}"/>
    <s v="{[DimEmployees].[EmployeeName].[All]}"/>
    <s v="{[dimCalendar].[Month].[All]}"/>
    <s v="{[qry_CleanSales].[PaymentMethod].[All]}"/>
    <s v="{[dimCalendar].[Year].[All]}"/>
    <s v="#,0"/>
    <s v="[Measures].[Gross Profit]"/>
    <s v="[Measures].[Profit Margin %]"/>
    <s v="0.00%;-0.00%;0.00%"/>
    <s v="[Measures].[Total Orders]"/>
    <s v="[Measures].[Average Order Value]"/>
  </metadataStrings>
  <mdxMetadata count="5">
    <mdx n="0" f="v">
      <t c="6" si="7">
        <n x="1"/>
        <n x="2" s="1"/>
        <n x="3" s="1"/>
        <n x="4" s="1"/>
        <n x="5" s="1"/>
        <n x="6" s="1"/>
      </t>
    </mdx>
    <mdx n="0" f="v">
      <t c="6" si="7">
        <n x="8"/>
        <n x="2" s="1"/>
        <n x="3" s="1"/>
        <n x="4" s="1"/>
        <n x="5" s="1"/>
        <n x="6" s="1"/>
      </t>
    </mdx>
    <mdx n="0" f="v">
      <t c="6" si="10">
        <n x="9"/>
        <n x="2" s="1"/>
        <n x="3" s="1"/>
        <n x="4" s="1"/>
        <n x="5" s="1"/>
        <n x="6" s="1"/>
      </t>
    </mdx>
    <mdx n="0" f="v">
      <t c="6" si="7">
        <n x="11"/>
        <n x="2" s="1"/>
        <n x="3" s="1"/>
        <n x="4" s="1"/>
        <n x="5" s="1"/>
        <n x="6" s="1"/>
      </t>
    </mdx>
    <mdx n="0" f="v">
      <t c="6" si="7">
        <n x="12"/>
        <n x="2" s="1"/>
        <n x="3" s="1"/>
        <n x="4" s="1"/>
        <n x="5" s="1"/>
        <n x="6" s="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<sst xmlns="http://schemas.openxmlformats.org/spreadsheetml/2006/main" count="1808" uniqueCount="526">
  <si>
    <t>SalesID</t>
  </si>
  <si>
    <t>InvoiceID</t>
  </si>
  <si>
    <t>SaleDate</t>
  </si>
  <si>
    <t>SaleTime</t>
  </si>
  <si>
    <t>CustomerID</t>
  </si>
  <si>
    <t>ProductID</t>
  </si>
  <si>
    <t>Quantity</t>
  </si>
  <si>
    <t>UnitPrice</t>
  </si>
  <si>
    <t>Discount</t>
  </si>
  <si>
    <t>EmployeeID</t>
  </si>
  <si>
    <t>PaymentMethod</t>
  </si>
  <si>
    <t>LineTotal</t>
  </si>
  <si>
    <t>Month</t>
  </si>
  <si>
    <t>Hour</t>
  </si>
  <si>
    <t>Weekday</t>
  </si>
  <si>
    <t>Category</t>
  </si>
  <si>
    <t>ProductName</t>
  </si>
  <si>
    <t>EmployeeName</t>
  </si>
  <si>
    <t>CostPrice</t>
  </si>
  <si>
    <t>LineCost</t>
  </si>
  <si>
    <t>GrossProfit</t>
  </si>
  <si>
    <t>Profit Margin</t>
  </si>
  <si>
    <t>Weekday2</t>
  </si>
  <si>
    <t>S000087</t>
  </si>
  <si>
    <t>INV000051</t>
  </si>
  <si>
    <t>2026-01-02</t>
  </si>
  <si>
    <t>14:06</t>
  </si>
  <si>
    <t>C0004</t>
  </si>
  <si>
    <t>P029</t>
  </si>
  <si>
    <t>E001</t>
  </si>
  <si>
    <t>Cash</t>
  </si>
  <si>
    <t>Drinks</t>
  </si>
  <si>
    <t>Café</t>
  </si>
  <si>
    <t>Youssef Amrani</t>
  </si>
  <si>
    <t>S000102</t>
  </si>
  <si>
    <t>INV000061</t>
  </si>
  <si>
    <t>20:36</t>
  </si>
  <si>
    <t>C0019</t>
  </si>
  <si>
    <t>P001</t>
  </si>
  <si>
    <t>Burger</t>
  </si>
  <si>
    <t>Classic Burger</t>
  </si>
  <si>
    <t>S000103</t>
  </si>
  <si>
    <t>P021</t>
  </si>
  <si>
    <t>Coca Cola</t>
  </si>
  <si>
    <t>S000047</t>
  </si>
  <si>
    <t>INV000028</t>
  </si>
  <si>
    <t>2026-01-03</t>
  </si>
  <si>
    <t>13:45</t>
  </si>
  <si>
    <t>C0029</t>
  </si>
  <si>
    <t>P007</t>
  </si>
  <si>
    <t>E002</t>
  </si>
  <si>
    <t>Tacos</t>
  </si>
  <si>
    <t>Tacos Mixte</t>
  </si>
  <si>
    <t>Salma Idrissi</t>
  </si>
  <si>
    <t>S000049</t>
  </si>
  <si>
    <t>INV000030</t>
  </si>
  <si>
    <t>2026-01-04</t>
  </si>
  <si>
    <t>13:28</t>
  </si>
  <si>
    <t>C0021</t>
  </si>
  <si>
    <t>P011</t>
  </si>
  <si>
    <t>E003</t>
  </si>
  <si>
    <t>Sandwich</t>
  </si>
  <si>
    <t>Shawarma Poulet</t>
  </si>
  <si>
    <t>Hamza El Fassi</t>
  </si>
  <si>
    <t>S000050</t>
  </si>
  <si>
    <t>S000110</t>
  </si>
  <si>
    <t>INV000067</t>
  </si>
  <si>
    <t>2026-01-05</t>
  </si>
  <si>
    <t>13:59</t>
  </si>
  <si>
    <t>C0006</t>
  </si>
  <si>
    <t>P022</t>
  </si>
  <si>
    <t>Coca Zero</t>
  </si>
  <si>
    <t>S000111</t>
  </si>
  <si>
    <t>S000142</t>
  </si>
  <si>
    <t>INV000087</t>
  </si>
  <si>
    <t>2026-01-08</t>
  </si>
  <si>
    <t>12:34</t>
  </si>
  <si>
    <t>C0022</t>
  </si>
  <si>
    <t>P018</t>
  </si>
  <si>
    <t>Pizza</t>
  </si>
  <si>
    <t>Pizza Poulet</t>
  </si>
  <si>
    <t>S000143</t>
  </si>
  <si>
    <t>S000001</t>
  </si>
  <si>
    <t>INV000001</t>
  </si>
  <si>
    <t>2026-01-14</t>
  </si>
  <si>
    <t>20:33</t>
  </si>
  <si>
    <t>Card</t>
  </si>
  <si>
    <t>S000135</t>
  </si>
  <si>
    <t>INV000084</t>
  </si>
  <si>
    <t>2026-01-18</t>
  </si>
  <si>
    <t>22:24</t>
  </si>
  <si>
    <t>S000136</t>
  </si>
  <si>
    <t>S000137</t>
  </si>
  <si>
    <t>S000055</t>
  </si>
  <si>
    <t>INV000033</t>
  </si>
  <si>
    <t>2026-01-20</t>
  </si>
  <si>
    <t>21:56</t>
  </si>
  <si>
    <t>P016</t>
  </si>
  <si>
    <t>Pizza Margherita</t>
  </si>
  <si>
    <t>S000139</t>
  </si>
  <si>
    <t>INV000086</t>
  </si>
  <si>
    <t>2026-01-21</t>
  </si>
  <si>
    <t>10:32</t>
  </si>
  <si>
    <t>C0003</t>
  </si>
  <si>
    <t>P037</t>
  </si>
  <si>
    <t>Sides</t>
  </si>
  <si>
    <t>Potatoes</t>
  </si>
  <si>
    <t>S000140</t>
  </si>
  <si>
    <t>P026</t>
  </si>
  <si>
    <t>Eau Minérale</t>
  </si>
  <si>
    <t>S000141</t>
  </si>
  <si>
    <t>P023</t>
  </si>
  <si>
    <t>Sprite</t>
  </si>
  <si>
    <t>S000118</t>
  </si>
  <si>
    <t>INV000073</t>
  </si>
  <si>
    <t>2026-01-24</t>
  </si>
  <si>
    <t>19:39</t>
  </si>
  <si>
    <t>S000035</t>
  </si>
  <si>
    <t>INV000020</t>
  </si>
  <si>
    <t>2026-01-27</t>
  </si>
  <si>
    <t>12:03</t>
  </si>
  <si>
    <t>C0009</t>
  </si>
  <si>
    <t>S000036</t>
  </si>
  <si>
    <t>P033</t>
  </si>
  <si>
    <t>Dessert</t>
  </si>
  <si>
    <t>Crêpe Nutella</t>
  </si>
  <si>
    <t>S000020</t>
  </si>
  <si>
    <t>INV000011</t>
  </si>
  <si>
    <t>2026-02-01</t>
  </si>
  <si>
    <t>12:15</t>
  </si>
  <si>
    <t>S000126</t>
  </si>
  <si>
    <t>INV000079</t>
  </si>
  <si>
    <t>12:56</t>
  </si>
  <si>
    <t>C0005</t>
  </si>
  <si>
    <t>S000127</t>
  </si>
  <si>
    <t>S000015</t>
  </si>
  <si>
    <t>INV000009</t>
  </si>
  <si>
    <t>2026-02-05</t>
  </si>
  <si>
    <t>22:33</t>
  </si>
  <si>
    <t>C0010</t>
  </si>
  <si>
    <t>P031</t>
  </si>
  <si>
    <t>Brownie</t>
  </si>
  <si>
    <t>S000016</t>
  </si>
  <si>
    <t>S000017</t>
  </si>
  <si>
    <t>S000078</t>
  </si>
  <si>
    <t>INV000045</t>
  </si>
  <si>
    <t>2026-02-06</t>
  </si>
  <si>
    <t>21:07</t>
  </si>
  <si>
    <t>C0015</t>
  </si>
  <si>
    <t>S000098</t>
  </si>
  <si>
    <t>INV000059</t>
  </si>
  <si>
    <t>10:41</t>
  </si>
  <si>
    <t>S000099</t>
  </si>
  <si>
    <t>S000012</t>
  </si>
  <si>
    <t>INV000007</t>
  </si>
  <si>
    <t>2026-02-08</t>
  </si>
  <si>
    <t>19:32</t>
  </si>
  <si>
    <t>Mobile</t>
  </si>
  <si>
    <t>S000119</t>
  </si>
  <si>
    <t>INV000074</t>
  </si>
  <si>
    <t>2026-02-09</t>
  </si>
  <si>
    <t>12:40</t>
  </si>
  <si>
    <t>S000002</t>
  </si>
  <si>
    <t>INV000002</t>
  </si>
  <si>
    <t>2026-02-18</t>
  </si>
  <si>
    <t>20:38</t>
  </si>
  <si>
    <t>C0011</t>
  </si>
  <si>
    <t>S000003</t>
  </si>
  <si>
    <t>S000004</t>
  </si>
  <si>
    <t>S000008</t>
  </si>
  <si>
    <t>INV000005</t>
  </si>
  <si>
    <t>2026-02-19</t>
  </si>
  <si>
    <t>21:51</t>
  </si>
  <si>
    <t>S000009</t>
  </si>
  <si>
    <t>S000144</t>
  </si>
  <si>
    <t>INV000088</t>
  </si>
  <si>
    <t>2026-02-21</t>
  </si>
  <si>
    <t>11:08</t>
  </si>
  <si>
    <t>S000071</t>
  </si>
  <si>
    <t>INV000042</t>
  </si>
  <si>
    <t>2026-02-24</t>
  </si>
  <si>
    <t>14:09</t>
  </si>
  <si>
    <t>P036</t>
  </si>
  <si>
    <t>Frites</t>
  </si>
  <si>
    <t>S000072</t>
  </si>
  <si>
    <t>S000091</t>
  </si>
  <si>
    <t>INV000054</t>
  </si>
  <si>
    <t>2026-02-26</t>
  </si>
  <si>
    <t>19:19</t>
  </si>
  <si>
    <t>C0028</t>
  </si>
  <si>
    <t>S000062</t>
  </si>
  <si>
    <t>INV000037</t>
  </si>
  <si>
    <t>2026-02-27</t>
  </si>
  <si>
    <t>13:14</t>
  </si>
  <si>
    <t>S000149</t>
  </si>
  <si>
    <t>INV000092</t>
  </si>
  <si>
    <t>20:29</t>
  </si>
  <si>
    <t>P039</t>
  </si>
  <si>
    <t>Nuggets</t>
  </si>
  <si>
    <t>S000150</t>
  </si>
  <si>
    <t>S000034</t>
  </si>
  <si>
    <t>INV000019</t>
  </si>
  <si>
    <t>2026-02-28</t>
  </si>
  <si>
    <t>19:18</t>
  </si>
  <si>
    <t>S000146</t>
  </si>
  <si>
    <t>INV000090</t>
  </si>
  <si>
    <t>20:06</t>
  </si>
  <si>
    <t>C0007</t>
  </si>
  <si>
    <t>S000147</t>
  </si>
  <si>
    <t>S000046</t>
  </si>
  <si>
    <t>INV000027</t>
  </si>
  <si>
    <t>2026-03-08</t>
  </si>
  <si>
    <t>13:29</t>
  </si>
  <si>
    <t>C0012</t>
  </si>
  <si>
    <t>S000088</t>
  </si>
  <si>
    <t>INV000052</t>
  </si>
  <si>
    <t>2026-03-10</t>
  </si>
  <si>
    <t>22:55</t>
  </si>
  <si>
    <t>C0001</t>
  </si>
  <si>
    <t>S000089</t>
  </si>
  <si>
    <t>S000044</t>
  </si>
  <si>
    <t>INV000026</t>
  </si>
  <si>
    <t>2026-03-12</t>
  </si>
  <si>
    <t>20:16</t>
  </si>
  <si>
    <t>S000045</t>
  </si>
  <si>
    <t>S000053</t>
  </si>
  <si>
    <t>INV000032</t>
  </si>
  <si>
    <t>12:16</t>
  </si>
  <si>
    <t>C0026</t>
  </si>
  <si>
    <t>S000054</t>
  </si>
  <si>
    <t>S000112</t>
  </si>
  <si>
    <t>INV000068</t>
  </si>
  <si>
    <t>20:51</t>
  </si>
  <si>
    <t>C0024</t>
  </si>
  <si>
    <t>S000086</t>
  </si>
  <si>
    <t>INV000050</t>
  </si>
  <si>
    <t>2026-03-14</t>
  </si>
  <si>
    <t>21:38</t>
  </si>
  <si>
    <t>S000013</t>
  </si>
  <si>
    <t>INV000008</t>
  </si>
  <si>
    <t>2026-03-15</t>
  </si>
  <si>
    <t>22:12</t>
  </si>
  <si>
    <t>S000014</t>
  </si>
  <si>
    <t>S000097</t>
  </si>
  <si>
    <t>INV000058</t>
  </si>
  <si>
    <t>2026-03-18</t>
  </si>
  <si>
    <t>11:10</t>
  </si>
  <si>
    <t>S000100</t>
  </si>
  <si>
    <t>INV000060</t>
  </si>
  <si>
    <t>2026-03-19</t>
  </si>
  <si>
    <t>11:07</t>
  </si>
  <si>
    <t>S000101</t>
  </si>
  <si>
    <t>S000128</t>
  </si>
  <si>
    <t>INV000080</t>
  </si>
  <si>
    <t>S000069</t>
  </si>
  <si>
    <t>INV000041</t>
  </si>
  <si>
    <t>2026-03-20</t>
  </si>
  <si>
    <t>13:16</t>
  </si>
  <si>
    <t>C0016</t>
  </si>
  <si>
    <t>S000070</t>
  </si>
  <si>
    <t>S000133</t>
  </si>
  <si>
    <t>INV000083</t>
  </si>
  <si>
    <t>2026-03-21</t>
  </si>
  <si>
    <t>S000134</t>
  </si>
  <si>
    <t>S000056</t>
  </si>
  <si>
    <t>INV000034</t>
  </si>
  <si>
    <t>2026-03-23</t>
  </si>
  <si>
    <t>20:13</t>
  </si>
  <si>
    <t>C0027</t>
  </si>
  <si>
    <t>S000057</t>
  </si>
  <si>
    <t>S000148</t>
  </si>
  <si>
    <t>INV000091</t>
  </si>
  <si>
    <t>2026-03-27</t>
  </si>
  <si>
    <t>13:41</t>
  </si>
  <si>
    <t>C0023</t>
  </si>
  <si>
    <t>S000051</t>
  </si>
  <si>
    <t>INV000031</t>
  </si>
  <si>
    <t>2026-03-30</t>
  </si>
  <si>
    <t>11:49</t>
  </si>
  <si>
    <t>S000052</t>
  </si>
  <si>
    <t>S000018</t>
  </si>
  <si>
    <t>INV000010</t>
  </si>
  <si>
    <t>2026-04-01</t>
  </si>
  <si>
    <t>19:26</t>
  </si>
  <si>
    <t>C0020</t>
  </si>
  <si>
    <t>S000019</t>
  </si>
  <si>
    <t>S000030</t>
  </si>
  <si>
    <t>INV000017</t>
  </si>
  <si>
    <t>14:36</t>
  </si>
  <si>
    <t>S000031</t>
  </si>
  <si>
    <t>S000115</t>
  </si>
  <si>
    <t>INV000071</t>
  </si>
  <si>
    <t>12:25</t>
  </si>
  <si>
    <t>S000021</t>
  </si>
  <si>
    <t>INV000012</t>
  </si>
  <si>
    <t>2026-04-03</t>
  </si>
  <si>
    <t>20:44</t>
  </si>
  <si>
    <t>S000104</t>
  </si>
  <si>
    <t>INV000062</t>
  </si>
  <si>
    <t>13:51</t>
  </si>
  <si>
    <t>S000156</t>
  </si>
  <si>
    <t>INV000095</t>
  </si>
  <si>
    <t>2026-04-05</t>
  </si>
  <si>
    <t>21:27</t>
  </si>
  <si>
    <t>S000157</t>
  </si>
  <si>
    <t>S000138</t>
  </si>
  <si>
    <t>INV000085</t>
  </si>
  <si>
    <t>2026-04-06</t>
  </si>
  <si>
    <t>22:30</t>
  </si>
  <si>
    <t>S000041</t>
  </si>
  <si>
    <t>INV000024</t>
  </si>
  <si>
    <t>2026-04-08</t>
  </si>
  <si>
    <t>13:57</t>
  </si>
  <si>
    <t>S000042</t>
  </si>
  <si>
    <t>S000129</t>
  </si>
  <si>
    <t>INV000081</t>
  </si>
  <si>
    <t>19:12</t>
  </si>
  <si>
    <t>C0017</t>
  </si>
  <si>
    <t>S000130</t>
  </si>
  <si>
    <t>S000107</t>
  </si>
  <si>
    <t>INV000065</t>
  </si>
  <si>
    <t>2026-04-11</t>
  </si>
  <si>
    <t>14:01</t>
  </si>
  <si>
    <t>S000108</t>
  </si>
  <si>
    <t>S000123</t>
  </si>
  <si>
    <t>INV000077</t>
  </si>
  <si>
    <t>2026-04-16</t>
  </si>
  <si>
    <t>21:13</t>
  </si>
  <si>
    <t>S000124</t>
  </si>
  <si>
    <t>S000048</t>
  </si>
  <si>
    <t>INV000029</t>
  </si>
  <si>
    <t>2026-04-17</t>
  </si>
  <si>
    <t>22:23</t>
  </si>
  <si>
    <t>S000037</t>
  </si>
  <si>
    <t>INV000021</t>
  </si>
  <si>
    <t>2026-04-18</t>
  </si>
  <si>
    <t>10:38</t>
  </si>
  <si>
    <t>S000151</t>
  </si>
  <si>
    <t>INV000093</t>
  </si>
  <si>
    <t>C0014</t>
  </si>
  <si>
    <t>S000152</t>
  </si>
  <si>
    <t>S000153</t>
  </si>
  <si>
    <t>INV000094</t>
  </si>
  <si>
    <t>20:21</t>
  </si>
  <si>
    <t>C0008</t>
  </si>
  <si>
    <t>S000154</t>
  </si>
  <si>
    <t>S000155</t>
  </si>
  <si>
    <t>S000039</t>
  </si>
  <si>
    <t>INV000023</t>
  </si>
  <si>
    <t>2026-04-20</t>
  </si>
  <si>
    <t>S000040</t>
  </si>
  <si>
    <t>S000058</t>
  </si>
  <si>
    <t>INV000035</t>
  </si>
  <si>
    <t>2026-04-21</t>
  </si>
  <si>
    <t>22:01</t>
  </si>
  <si>
    <t>S000059</t>
  </si>
  <si>
    <t>S000084</t>
  </si>
  <si>
    <t>INV000049</t>
  </si>
  <si>
    <t>2026-04-22</t>
  </si>
  <si>
    <t>12:39</t>
  </si>
  <si>
    <t>S000085</t>
  </si>
  <si>
    <t>S000105</t>
  </si>
  <si>
    <t>INV000063</t>
  </si>
  <si>
    <t>2026-04-23</t>
  </si>
  <si>
    <t>19:56</t>
  </si>
  <si>
    <t>S000024</t>
  </si>
  <si>
    <t>INV000014</t>
  </si>
  <si>
    <t>2026-04-24</t>
  </si>
  <si>
    <t>20:48</t>
  </si>
  <si>
    <t>S000025</t>
  </si>
  <si>
    <t>S000026</t>
  </si>
  <si>
    <t>S000094</t>
  </si>
  <si>
    <t>INV000056</t>
  </si>
  <si>
    <t>2026-04-25</t>
  </si>
  <si>
    <t>S000095</t>
  </si>
  <si>
    <t>S000131</t>
  </si>
  <si>
    <t>INV000082</t>
  </si>
  <si>
    <t>2026-04-27</t>
  </si>
  <si>
    <t>12:53</t>
  </si>
  <si>
    <t>S000132</t>
  </si>
  <si>
    <t>S000145</t>
  </si>
  <si>
    <t>INV000089</t>
  </si>
  <si>
    <t>2026-04-28</t>
  </si>
  <si>
    <t>11:39</t>
  </si>
  <si>
    <t>S000160</t>
  </si>
  <si>
    <t>INV000097</t>
  </si>
  <si>
    <t>S000067</t>
  </si>
  <si>
    <t>INV000040</t>
  </si>
  <si>
    <t>2026-05-01</t>
  </si>
  <si>
    <t>S000068</t>
  </si>
  <si>
    <t>S000109</t>
  </si>
  <si>
    <t>INV000066</t>
  </si>
  <si>
    <t>14:54</t>
  </si>
  <si>
    <t>S000032</t>
  </si>
  <si>
    <t>INV000018</t>
  </si>
  <si>
    <t>2026-05-06</t>
  </si>
  <si>
    <t>S000033</t>
  </si>
  <si>
    <t>S000038</t>
  </si>
  <si>
    <t>INV000022</t>
  </si>
  <si>
    <t>12:57</t>
  </si>
  <si>
    <t>S000120</t>
  </si>
  <si>
    <t>INV000075</t>
  </si>
  <si>
    <t>2026-05-10</t>
  </si>
  <si>
    <t>19:57</t>
  </si>
  <si>
    <t>C0013</t>
  </si>
  <si>
    <t>S000121</t>
  </si>
  <si>
    <t>S000079</t>
  </si>
  <si>
    <t>INV000046</t>
  </si>
  <si>
    <t>2026-05-12</t>
  </si>
  <si>
    <t>11:52</t>
  </si>
  <si>
    <t>S000080</t>
  </si>
  <si>
    <t>S000010</t>
  </si>
  <si>
    <t>INV000006</t>
  </si>
  <si>
    <t>2026-05-13</t>
  </si>
  <si>
    <t>19:22</t>
  </si>
  <si>
    <t>S000011</t>
  </si>
  <si>
    <t>S000027</t>
  </si>
  <si>
    <t>INV000015</t>
  </si>
  <si>
    <t>2026-05-14</t>
  </si>
  <si>
    <t>21:12</t>
  </si>
  <si>
    <t>S000113</t>
  </si>
  <si>
    <t>INV000069</t>
  </si>
  <si>
    <t>2026-05-16</t>
  </si>
  <si>
    <t>S000158</t>
  </si>
  <si>
    <t>INV000096</t>
  </si>
  <si>
    <t>2026-05-18</t>
  </si>
  <si>
    <t>14:58</t>
  </si>
  <si>
    <t>S000159</t>
  </si>
  <si>
    <t>S000122</t>
  </si>
  <si>
    <t>INV000076</t>
  </si>
  <si>
    <t>2026-05-19</t>
  </si>
  <si>
    <t>22:41</t>
  </si>
  <si>
    <t>S000165</t>
  </si>
  <si>
    <t>INV000100</t>
  </si>
  <si>
    <t>19:42</t>
  </si>
  <si>
    <t>S000166</t>
  </si>
  <si>
    <t>S000063</t>
  </si>
  <si>
    <t>INV000038</t>
  </si>
  <si>
    <t>2026-05-21</t>
  </si>
  <si>
    <t>22:16</t>
  </si>
  <si>
    <t>S000064</t>
  </si>
  <si>
    <t>S000065</t>
  </si>
  <si>
    <t>S000006</t>
  </si>
  <si>
    <t>INV000004</t>
  </si>
  <si>
    <t>2026-05-22</t>
  </si>
  <si>
    <t>19:24</t>
  </si>
  <si>
    <t>S000007</t>
  </si>
  <si>
    <t>S000092</t>
  </si>
  <si>
    <t>INV000055</t>
  </si>
  <si>
    <t>2026-05-26</t>
  </si>
  <si>
    <t>S000093</t>
  </si>
  <si>
    <t>S000116</t>
  </si>
  <si>
    <t>INV000072</t>
  </si>
  <si>
    <t>2026-05-27</t>
  </si>
  <si>
    <t>12:55</t>
  </si>
  <si>
    <t>S000117</t>
  </si>
  <si>
    <t>S000114</t>
  </si>
  <si>
    <t>INV000070</t>
  </si>
  <si>
    <t>2026-05-29</t>
  </si>
  <si>
    <t>19:48</t>
  </si>
  <si>
    <t>S000162</t>
  </si>
  <si>
    <t>INV000099</t>
  </si>
  <si>
    <t>2026-06-01</t>
  </si>
  <si>
    <t>19:31</t>
  </si>
  <si>
    <t>S000163</t>
  </si>
  <si>
    <t>S000164</t>
  </si>
  <si>
    <t>S000075</t>
  </si>
  <si>
    <t>INV000044</t>
  </si>
  <si>
    <t>2026-06-03</t>
  </si>
  <si>
    <t>12:38</t>
  </si>
  <si>
    <t>S000076</t>
  </si>
  <si>
    <t>S000077</t>
  </si>
  <si>
    <t>S000081</t>
  </si>
  <si>
    <t>INV000047</t>
  </si>
  <si>
    <t>2026-06-09</t>
  </si>
  <si>
    <t>21:36</t>
  </si>
  <si>
    <t>S000082</t>
  </si>
  <si>
    <t>S000161</t>
  </si>
  <si>
    <t>INV000098</t>
  </si>
  <si>
    <t>20:23</t>
  </si>
  <si>
    <t>S000022</t>
  </si>
  <si>
    <t>INV000013</t>
  </si>
  <si>
    <t>2026-06-11</t>
  </si>
  <si>
    <t>13:46</t>
  </si>
  <si>
    <t>S000023</t>
  </si>
  <si>
    <t>S000060</t>
  </si>
  <si>
    <t>INV000036</t>
  </si>
  <si>
    <t>13:11</t>
  </si>
  <si>
    <t>S000061</t>
  </si>
  <si>
    <t>S000090</t>
  </si>
  <si>
    <t>INV000053</t>
  </si>
  <si>
    <t>14:34</t>
  </si>
  <si>
    <t>S000073</t>
  </si>
  <si>
    <t>INV000043</t>
  </si>
  <si>
    <t>2026-06-13</t>
  </si>
  <si>
    <t>14:04</t>
  </si>
  <si>
    <t>S000074</t>
  </si>
  <si>
    <t>S000043</t>
  </si>
  <si>
    <t>INV000025</t>
  </si>
  <si>
    <t>2026-06-16</t>
  </si>
  <si>
    <t>12:04</t>
  </si>
  <si>
    <t>S000005</t>
  </si>
  <si>
    <t>INV000003</t>
  </si>
  <si>
    <t>2026-06-19</t>
  </si>
  <si>
    <t>S000066</t>
  </si>
  <si>
    <t>INV000039</t>
  </si>
  <si>
    <t>2026-06-21</t>
  </si>
  <si>
    <t>21:55</t>
  </si>
  <si>
    <t>S000028</t>
  </si>
  <si>
    <t>INV000016</t>
  </si>
  <si>
    <t>2026-06-24</t>
  </si>
  <si>
    <t>20:40</t>
  </si>
  <si>
    <t>S000029</t>
  </si>
  <si>
    <t>S000083</t>
  </si>
  <si>
    <t>INV000048</t>
  </si>
  <si>
    <t>2026-06-25</t>
  </si>
  <si>
    <t>22:48</t>
  </si>
  <si>
    <t>S000096</t>
  </si>
  <si>
    <t>INV000057</t>
  </si>
  <si>
    <t>22:15</t>
  </si>
  <si>
    <t>S000106</t>
  </si>
  <si>
    <t>INV000064</t>
  </si>
  <si>
    <t>2026-06-26</t>
  </si>
  <si>
    <t>21:57</t>
  </si>
  <si>
    <t>S000125</t>
  </si>
  <si>
    <t>INV000078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</si>
</sst>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12">
    <dxf>
      <numFmt numFmtId="1" formatCode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Analytics%20Platform%20v1.0%5e.xlsm" TargetMode="External"/><Relationship Id="rId2" Type="http://schemas.openxmlformats.org/officeDocument/2006/relationships/externalLinkPath" Target="https://d.docs.live.net/93eb9b506ff76d93/Documents/SQL%20Learning/Projects/Project%20001%20&#8212;%20Restaurant%20Analytics%20Dashboard%20for%20Small%20Businesses/Business%20Analytics%20Platform%20v1.0%5e.xlsm" TargetMode="External"/><Relationship Id="rId1" Type="http://schemas.openxmlformats.org/officeDocument/2006/relationships/externalLinkPath" Target="/93eb9b506ff76d93/Documents/SQL%20Learning/Projects/Project%20001%20&#8212;%20Restaurant%20Analytics%20Dashboard%20for%20Small%20Businesses/Business%20Analytics%20Platform%20v1.0%5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ctSales"/>
      <sheetName val="00_Project_Info"/>
      <sheetName val="Business Questions"/>
      <sheetName val="DimProducts"/>
      <sheetName val="DimCustomers"/>
      <sheetName val="DimEmployees"/>
      <sheetName val="hghg"/>
      <sheetName val="Dashboard"/>
      <sheetName val="Last Refresh"/>
      <sheetName val="Dashboard_Data"/>
      <sheetName val="Pivo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vm="1">
            <v>7046</v>
          </cell>
        </row>
        <row r="3">
          <cell r="B3" vm="2">
            <v>3482</v>
          </cell>
        </row>
        <row r="4">
          <cell r="B4" vm="3">
            <v>0.49418109565711044</v>
          </cell>
        </row>
        <row r="5">
          <cell r="B5" vm="4">
            <v>100</v>
          </cell>
        </row>
        <row r="6">
          <cell r="B6" vm="5">
            <v>70.459999999999994</v>
          </cell>
        </row>
      </sheetData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3BEF1-0DE0-4656-9883-50E8D2EEC451}" name="tblSales" displayName="tblSales" ref="A1:W167" totalsRowShown="0">
  <autoFilter ref="A1:W167" xr:uid="{FF55C4FF-BC21-446F-84A8-6011A4D265D3}"/>
  <sortState xmlns:xlrd2="http://schemas.microsoft.com/office/spreadsheetml/2017/richdata2" ref="A2:M167">
    <sortCondition ref="C1:C167"/>
  </sortState>
  <tableColumns count="23">
    <tableColumn id="1" xr3:uid="{13666E92-6F6D-4B9F-A0F9-B84C29491D48}" name="SalesID"/>
    <tableColumn id="2" xr3:uid="{A20FC22E-FA41-4F43-BA4C-6AB45E5F75FA}" name="InvoiceID"/>
    <tableColumn id="3" xr3:uid="{C9420FBA-8629-4132-81BD-E37A7B7D16D0}" name="SaleDate"/>
    <tableColumn id="4" xr3:uid="{AAE00B26-847E-4C85-9B98-5C59170A28C7}" name="SaleTime"/>
    <tableColumn id="5" xr3:uid="{371D0C41-DAAF-4DBE-BCAB-5660A8620347}" name="CustomerID"/>
    <tableColumn id="6" xr3:uid="{3073549D-9C1C-4C23-9D13-13220FCBEDC8}" name="ProductID"/>
    <tableColumn id="7" xr3:uid="{E5611A4A-37EF-4CC1-9CFD-95787C843175}" name="Quantity"/>
    <tableColumn id="8" xr3:uid="{0BB54F40-68AA-4ABD-8494-23625FA870A3}" name="UnitPrice"/>
    <tableColumn id="9" xr3:uid="{2ED98E51-5092-4500-A151-0F3898210470}" name="Discount"/>
    <tableColumn id="10" xr3:uid="{33E714F4-2D01-41B5-BFD8-230AFBF13D27}" name="EmployeeID"/>
    <tableColumn id="11" xr3:uid="{36A788CF-6B6E-4749-944C-5B6AABC1A855}" name="PaymentMethod"/>
    <tableColumn id="12" xr3:uid="{7A8658B2-3D31-4872-8487-DA6657AFDC09}" name="LineTotal" dataDxfId="11">
      <calculatedColumnFormula>(tblSales[[#This Row],[Quantity]]*tblSales[[#This Row],[UnitPrice]])-tblSales[[#This Row],[Discount]]</calculatedColumnFormula>
    </tableColumn>
    <tableColumn id="13" xr3:uid="{F3CAABF4-FDEF-4732-A015-0327970E85E2}" name="Month" dataDxfId="10">
      <calculatedColumnFormula>TEXT(tblSales[[#This Row],[SaleDate]],"mmm")</calculatedColumnFormula>
    </tableColumn>
    <tableColumn id="14" xr3:uid="{2B973A69-9884-4B5A-9442-2CF62E34643F}" name="Hour" dataDxfId="9">
      <calculatedColumnFormula>HOUR(tblSales[[#This Row],[SaleTime]])</calculatedColumnFormula>
    </tableColumn>
    <tableColumn id="15" xr3:uid="{F306353F-16FC-46FD-8F7D-CFE3F362EA7C}" name="Weekday" dataDxfId="8">
      <calculatedColumnFormula>TEXT(tblSales[[#This Row],[SaleDate]],"ddd")</calculatedColumnFormula>
    </tableColumn>
    <tableColumn id="16" xr3:uid="{6BAA11C1-E286-4608-BF1A-139714F5BF75}" name="Category" dataDxfId="7"/>
    <tableColumn id="17" xr3:uid="{0F879446-2B92-4177-9C4D-2E44526B45B6}" name="ProductName" dataDxfId="6"/>
    <tableColumn id="18" xr3:uid="{35A34366-69BF-42C5-9D84-0707A74467BE}" name="EmployeeName" dataDxfId="5"/>
    <tableColumn id="22" xr3:uid="{830278BA-688B-478A-AC2E-F548083FB8AF}" name="CostPrice" dataDxfId="4"/>
    <tableColumn id="19" xr3:uid="{84382DC6-FF02-413D-A99D-D88BDC0FC0CE}" name="LineCost" dataDxfId="3">
      <calculatedColumnFormula>tblSales[[#This Row],[Quantity]]*tblSales[[#This Row],[CostPrice]]</calculatedColumnFormula>
    </tableColumn>
    <tableColumn id="20" xr3:uid="{83E3605A-DEB3-4C4E-AF4A-10B8DE4E48BC}" name="GrossProfit" dataDxfId="2">
      <calculatedColumnFormula>tblSales[[#This Row],[LineTotal]]-tblSales[[#This Row],[LineCost]]</calculatedColumnFormula>
    </tableColumn>
    <tableColumn id="21" xr3:uid="{B272C1DF-B43E-44E0-893D-89CCF2B3EEEE}" name="Profit Margin" dataDxfId="1">
      <calculatedColumnFormula>IF(tblSales[[#This Row],[LineTotal]]=0,0,tblSales[[#This Row],[GrossProfit]]/tblSales[[#This Row],[LineTotal]])</calculatedColumnFormula>
    </tableColumn>
    <tableColumn id="23" xr3:uid="{5D73D35F-8385-442A-A6BE-2C82883AA5BE}" name="Weekday2" dataDxfId="0">
      <calculatedColumnFormula>WEEKDAY(tblSales[[#This Row],[SaleDate]],2)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694F-1592-4D0D-B838-679647C847E1}">
  <sheetPr codeName="Sheet8"/>
  <dimension ref="A1:W167"/>
  <sheetViews>
    <sheetView tabSelected="1" topLeftCell="J1" workbookViewId="0">
      <selection activeCell="C5" sqref="C5"/>
    </sheetView>
  </sheetViews>
  <sheetFormatPr defaultRowHeight="14.25" x14ac:dyDescent="0.45"/>
  <cols>
    <col min="2" max="2" width="10.1328125" customWidth="1"/>
    <col min="3" max="3" width="16.796875" customWidth="1"/>
    <col min="4" max="4" width="10" customWidth="1"/>
    <col min="5" max="5" width="12.19921875" customWidth="1"/>
    <col min="6" max="6" width="10.59765625" customWidth="1"/>
    <col min="7" max="7" width="9.33203125" customWidth="1"/>
    <col min="8" max="8" width="10" customWidth="1"/>
    <col min="9" max="9" width="9.6640625" customWidth="1"/>
    <col min="10" max="10" width="12.265625" customWidth="1"/>
    <col min="11" max="11" width="15.59765625" customWidth="1"/>
    <col min="12" max="12" width="12.53125" customWidth="1"/>
    <col min="14" max="14" width="14.33203125" customWidth="1"/>
    <col min="15" max="15" width="10.86328125" customWidth="1"/>
    <col min="16" max="16" width="10.3984375" customWidth="1"/>
    <col min="17" max="17" width="14.3984375" customWidth="1"/>
    <col min="18" max="19" width="16" customWidth="1"/>
    <col min="20" max="20" width="11.9296875" customWidth="1"/>
    <col min="21" max="21" width="13.3984375" customWidth="1"/>
    <col min="22" max="22" width="14.73046875" style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2" t="s">
        <v>22</v>
      </c>
    </row>
    <row r="2" spans="1:23" x14ac:dyDescent="0.4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2</v>
      </c>
      <c r="H2">
        <v>12</v>
      </c>
      <c r="I2">
        <v>0</v>
      </c>
      <c r="J2" t="s">
        <v>29</v>
      </c>
      <c r="K2" t="s">
        <v>30</v>
      </c>
      <c r="L2">
        <f>(tblSales[[#This Row],[Quantity]]*tblSales[[#This Row],[UnitPrice]])-tblSales[[#This Row],[Discount]]</f>
        <v>24</v>
      </c>
      <c r="M2" s="3" t="str">
        <f>TEXT(tblSales[[#This Row],[SaleDate]],"mmm")</f>
        <v>Jan</v>
      </c>
      <c r="N2">
        <f>HOUR(tblSales[[#This Row],[SaleTime]])</f>
        <v>14</v>
      </c>
      <c r="O2" s="3" t="str">
        <f>TEXT(tblSales[[#This Row],[SaleDate]],"ddd")</f>
        <v>Fri</v>
      </c>
      <c r="P2" t="s">
        <v>31</v>
      </c>
      <c r="Q2" t="s">
        <v>32</v>
      </c>
      <c r="R2" t="s">
        <v>33</v>
      </c>
      <c r="S2">
        <v>3</v>
      </c>
      <c r="T2">
        <f>tblSales[[#This Row],[Quantity]]*tblSales[[#This Row],[CostPrice]]</f>
        <v>6</v>
      </c>
      <c r="U2">
        <f>tblSales[[#This Row],[LineTotal]]-tblSales[[#This Row],[LineCost]]</f>
        <v>18</v>
      </c>
      <c r="V2" s="1">
        <f>IF(tblSales[[#This Row],[LineTotal]]=0,0,tblSales[[#This Row],[GrossProfit]]/tblSales[[#This Row],[LineTotal]])</f>
        <v>0.75</v>
      </c>
      <c r="W2" s="2">
        <f>WEEKDAY(tblSales[[#This Row],[SaleDate]],2)</f>
        <v>5</v>
      </c>
    </row>
    <row r="3" spans="1:23" x14ac:dyDescent="0.45">
      <c r="A3" t="s">
        <v>34</v>
      </c>
      <c r="B3" t="s">
        <v>35</v>
      </c>
      <c r="C3" t="s">
        <v>25</v>
      </c>
      <c r="D3" t="s">
        <v>36</v>
      </c>
      <c r="E3" t="s">
        <v>37</v>
      </c>
      <c r="F3" t="s">
        <v>38</v>
      </c>
      <c r="G3">
        <v>2</v>
      </c>
      <c r="H3">
        <v>55</v>
      </c>
      <c r="I3">
        <v>0</v>
      </c>
      <c r="J3" t="s">
        <v>29</v>
      </c>
      <c r="K3" t="s">
        <v>30</v>
      </c>
      <c r="L3">
        <f>(tblSales[[#This Row],[Quantity]]*tblSales[[#This Row],[UnitPrice]])-tblSales[[#This Row],[Discount]]</f>
        <v>110</v>
      </c>
      <c r="M3" s="3" t="str">
        <f>TEXT(tblSales[[#This Row],[SaleDate]],"mmm")</f>
        <v>Jan</v>
      </c>
      <c r="N3">
        <f>HOUR(tblSales[[#This Row],[SaleTime]])</f>
        <v>20</v>
      </c>
      <c r="O3" s="3" t="str">
        <f>TEXT(tblSales[[#This Row],[SaleDate]],"ddd")</f>
        <v>Fri</v>
      </c>
      <c r="P3" t="s">
        <v>39</v>
      </c>
      <c r="Q3" t="s">
        <v>40</v>
      </c>
      <c r="R3" t="s">
        <v>33</v>
      </c>
      <c r="S3">
        <v>30</v>
      </c>
      <c r="T3">
        <f>tblSales[[#This Row],[Quantity]]*tblSales[[#This Row],[CostPrice]]</f>
        <v>60</v>
      </c>
      <c r="U3">
        <f>tblSales[[#This Row],[LineTotal]]-tblSales[[#This Row],[LineCost]]</f>
        <v>50</v>
      </c>
      <c r="V3" s="1">
        <f>IF(tblSales[[#This Row],[LineTotal]]=0,0,tblSales[[#This Row],[GrossProfit]]/tblSales[[#This Row],[LineTotal]])</f>
        <v>0.45454545454545453</v>
      </c>
      <c r="W3" s="2">
        <f>WEEKDAY(tblSales[[#This Row],[SaleDate]],2)</f>
        <v>5</v>
      </c>
    </row>
    <row r="4" spans="1:23" x14ac:dyDescent="0.45">
      <c r="A4" t="s">
        <v>41</v>
      </c>
      <c r="B4" t="s">
        <v>35</v>
      </c>
      <c r="C4" t="s">
        <v>25</v>
      </c>
      <c r="D4" t="s">
        <v>36</v>
      </c>
      <c r="E4" t="s">
        <v>37</v>
      </c>
      <c r="F4" t="s">
        <v>42</v>
      </c>
      <c r="G4">
        <v>1</v>
      </c>
      <c r="H4">
        <v>12</v>
      </c>
      <c r="I4">
        <v>0</v>
      </c>
      <c r="J4" t="s">
        <v>29</v>
      </c>
      <c r="K4" t="s">
        <v>30</v>
      </c>
      <c r="L4">
        <f>(tblSales[[#This Row],[Quantity]]*tblSales[[#This Row],[UnitPrice]])-tblSales[[#This Row],[Discount]]</f>
        <v>12</v>
      </c>
      <c r="M4" s="3" t="str">
        <f>TEXT(tblSales[[#This Row],[SaleDate]],"mmm")</f>
        <v>Jan</v>
      </c>
      <c r="N4">
        <f>HOUR(tblSales[[#This Row],[SaleTime]])</f>
        <v>20</v>
      </c>
      <c r="O4" s="3" t="str">
        <f>TEXT(tblSales[[#This Row],[SaleDate]],"ddd")</f>
        <v>Fri</v>
      </c>
      <c r="P4" t="s">
        <v>31</v>
      </c>
      <c r="Q4" t="s">
        <v>43</v>
      </c>
      <c r="R4" t="s">
        <v>33</v>
      </c>
      <c r="S4">
        <v>5</v>
      </c>
      <c r="T4">
        <f>tblSales[[#This Row],[Quantity]]*tblSales[[#This Row],[CostPrice]]</f>
        <v>5</v>
      </c>
      <c r="U4">
        <f>tblSales[[#This Row],[LineTotal]]-tblSales[[#This Row],[LineCost]]</f>
        <v>7</v>
      </c>
      <c r="V4" s="1">
        <f>IF(tblSales[[#This Row],[LineTotal]]=0,0,tblSales[[#This Row],[GrossProfit]]/tblSales[[#This Row],[LineTotal]])</f>
        <v>0.58333333333333337</v>
      </c>
      <c r="W4" s="2">
        <f>WEEKDAY(tblSales[[#This Row],[SaleDate]],2)</f>
        <v>5</v>
      </c>
    </row>
    <row r="5" spans="1:23" x14ac:dyDescent="0.4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>
        <v>2</v>
      </c>
      <c r="H5">
        <v>62</v>
      </c>
      <c r="I5">
        <v>0</v>
      </c>
      <c r="J5" t="s">
        <v>50</v>
      </c>
      <c r="K5" t="s">
        <v>30</v>
      </c>
      <c r="L5">
        <f>(tblSales[[#This Row],[Quantity]]*tblSales[[#This Row],[UnitPrice]])-tblSales[[#This Row],[Discount]]</f>
        <v>124</v>
      </c>
      <c r="M5" s="3" t="str">
        <f>TEXT(tblSales[[#This Row],[SaleDate]],"mmm")</f>
        <v>Jan</v>
      </c>
      <c r="N5">
        <f>HOUR(tblSales[[#This Row],[SaleTime]])</f>
        <v>13</v>
      </c>
      <c r="O5" s="3" t="str">
        <f>TEXT(tblSales[[#This Row],[SaleDate]],"ddd")</f>
        <v>Sat</v>
      </c>
      <c r="P5" t="s">
        <v>51</v>
      </c>
      <c r="Q5" t="s">
        <v>52</v>
      </c>
      <c r="R5" t="s">
        <v>53</v>
      </c>
      <c r="S5">
        <v>34</v>
      </c>
      <c r="T5">
        <f>tblSales[[#This Row],[Quantity]]*tblSales[[#This Row],[CostPrice]]</f>
        <v>68</v>
      </c>
      <c r="U5">
        <f>tblSales[[#This Row],[LineTotal]]-tblSales[[#This Row],[LineCost]]</f>
        <v>56</v>
      </c>
      <c r="V5" s="1">
        <f>IF(tblSales[[#This Row],[LineTotal]]=0,0,tblSales[[#This Row],[GrossProfit]]/tblSales[[#This Row],[LineTotal]])</f>
        <v>0.45161290322580644</v>
      </c>
      <c r="W5" s="2">
        <f>WEEKDAY(tblSales[[#This Row],[SaleDate]],2)</f>
        <v>6</v>
      </c>
    </row>
    <row r="6" spans="1:23" x14ac:dyDescent="0.4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>
        <v>2</v>
      </c>
      <c r="H6">
        <v>35</v>
      </c>
      <c r="I6">
        <v>0</v>
      </c>
      <c r="J6" t="s">
        <v>60</v>
      </c>
      <c r="K6" t="s">
        <v>30</v>
      </c>
      <c r="L6">
        <f>(tblSales[[#This Row],[Quantity]]*tblSales[[#This Row],[UnitPrice]])-tblSales[[#This Row],[Discount]]</f>
        <v>70</v>
      </c>
      <c r="M6" s="3" t="str">
        <f>TEXT(tblSales[[#This Row],[SaleDate]],"mmm")</f>
        <v>Jan</v>
      </c>
      <c r="N6">
        <f>HOUR(tblSales[[#This Row],[SaleTime]])</f>
        <v>13</v>
      </c>
      <c r="O6" s="3" t="str">
        <f>TEXT(tblSales[[#This Row],[SaleDate]],"ddd")</f>
        <v>Sun</v>
      </c>
      <c r="P6" t="s">
        <v>61</v>
      </c>
      <c r="Q6" t="s">
        <v>62</v>
      </c>
      <c r="R6" t="s">
        <v>63</v>
      </c>
      <c r="S6">
        <v>18</v>
      </c>
      <c r="T6">
        <f>tblSales[[#This Row],[Quantity]]*tblSales[[#This Row],[CostPrice]]</f>
        <v>36</v>
      </c>
      <c r="U6">
        <f>tblSales[[#This Row],[LineTotal]]-tblSales[[#This Row],[LineCost]]</f>
        <v>34</v>
      </c>
      <c r="V6" s="1">
        <f>IF(tblSales[[#This Row],[LineTotal]]=0,0,tblSales[[#This Row],[GrossProfit]]/tblSales[[#This Row],[LineTotal]])</f>
        <v>0.48571428571428571</v>
      </c>
      <c r="W6" s="2">
        <f>WEEKDAY(tblSales[[#This Row],[SaleDate]],2)</f>
        <v>7</v>
      </c>
    </row>
    <row r="7" spans="1:23" x14ac:dyDescent="0.45">
      <c r="A7" t="s">
        <v>64</v>
      </c>
      <c r="B7" t="s">
        <v>55</v>
      </c>
      <c r="C7" t="s">
        <v>56</v>
      </c>
      <c r="D7" t="s">
        <v>57</v>
      </c>
      <c r="E7" t="s">
        <v>58</v>
      </c>
      <c r="F7" t="s">
        <v>49</v>
      </c>
      <c r="G7">
        <v>1</v>
      </c>
      <c r="H7">
        <v>62</v>
      </c>
      <c r="I7">
        <v>0</v>
      </c>
      <c r="J7" t="s">
        <v>60</v>
      </c>
      <c r="K7" t="s">
        <v>30</v>
      </c>
      <c r="L7">
        <f>(tblSales[[#This Row],[Quantity]]*tblSales[[#This Row],[UnitPrice]])-tblSales[[#This Row],[Discount]]</f>
        <v>62</v>
      </c>
      <c r="M7" s="3" t="str">
        <f>TEXT(tblSales[[#This Row],[SaleDate]],"mmm")</f>
        <v>Jan</v>
      </c>
      <c r="N7">
        <f>HOUR(tblSales[[#This Row],[SaleTime]])</f>
        <v>13</v>
      </c>
      <c r="O7" s="3" t="str">
        <f>TEXT(tblSales[[#This Row],[SaleDate]],"ddd")</f>
        <v>Sun</v>
      </c>
      <c r="P7" t="s">
        <v>51</v>
      </c>
      <c r="Q7" t="s">
        <v>52</v>
      </c>
      <c r="R7" t="s">
        <v>63</v>
      </c>
      <c r="S7">
        <v>34</v>
      </c>
      <c r="T7">
        <f>tblSales[[#This Row],[Quantity]]*tblSales[[#This Row],[CostPrice]]</f>
        <v>34</v>
      </c>
      <c r="U7">
        <f>tblSales[[#This Row],[LineTotal]]-tblSales[[#This Row],[LineCost]]</f>
        <v>28</v>
      </c>
      <c r="V7" s="1">
        <f>IF(tblSales[[#This Row],[LineTotal]]=0,0,tblSales[[#This Row],[GrossProfit]]/tblSales[[#This Row],[LineTotal]])</f>
        <v>0.45161290322580644</v>
      </c>
      <c r="W7" s="2">
        <f>WEEKDAY(tblSales[[#This Row],[SaleDate]],2)</f>
        <v>7</v>
      </c>
    </row>
    <row r="8" spans="1:23" x14ac:dyDescent="0.4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>
        <v>2</v>
      </c>
      <c r="H8">
        <v>12</v>
      </c>
      <c r="I8">
        <v>0</v>
      </c>
      <c r="J8" t="s">
        <v>29</v>
      </c>
      <c r="K8" t="s">
        <v>30</v>
      </c>
      <c r="L8">
        <f>(tblSales[[#This Row],[Quantity]]*tblSales[[#This Row],[UnitPrice]])-tblSales[[#This Row],[Discount]]</f>
        <v>24</v>
      </c>
      <c r="M8" s="3" t="str">
        <f>TEXT(tblSales[[#This Row],[SaleDate]],"mmm")</f>
        <v>Jan</v>
      </c>
      <c r="N8">
        <f>HOUR(tblSales[[#This Row],[SaleTime]])</f>
        <v>13</v>
      </c>
      <c r="O8" s="3" t="str">
        <f>TEXT(tblSales[[#This Row],[SaleDate]],"ddd")</f>
        <v>Mon</v>
      </c>
      <c r="P8" t="s">
        <v>31</v>
      </c>
      <c r="Q8" t="s">
        <v>71</v>
      </c>
      <c r="R8" t="s">
        <v>33</v>
      </c>
      <c r="S8">
        <v>5</v>
      </c>
      <c r="T8">
        <f>tblSales[[#This Row],[Quantity]]*tblSales[[#This Row],[CostPrice]]</f>
        <v>10</v>
      </c>
      <c r="U8">
        <f>tblSales[[#This Row],[LineTotal]]-tblSales[[#This Row],[LineCost]]</f>
        <v>14</v>
      </c>
      <c r="V8" s="1">
        <f>IF(tblSales[[#This Row],[LineTotal]]=0,0,tblSales[[#This Row],[GrossProfit]]/tblSales[[#This Row],[LineTotal]])</f>
        <v>0.58333333333333337</v>
      </c>
      <c r="W8" s="2">
        <f>WEEKDAY(tblSales[[#This Row],[SaleDate]],2)</f>
        <v>1</v>
      </c>
    </row>
    <row r="9" spans="1:23" x14ac:dyDescent="0.45">
      <c r="A9" t="s">
        <v>72</v>
      </c>
      <c r="B9" t="s">
        <v>66</v>
      </c>
      <c r="C9" t="s">
        <v>67</v>
      </c>
      <c r="D9" t="s">
        <v>68</v>
      </c>
      <c r="E9" t="s">
        <v>69</v>
      </c>
      <c r="F9" t="s">
        <v>42</v>
      </c>
      <c r="G9">
        <v>2</v>
      </c>
      <c r="H9">
        <v>12</v>
      </c>
      <c r="I9">
        <v>0</v>
      </c>
      <c r="J9" t="s">
        <v>29</v>
      </c>
      <c r="K9" t="s">
        <v>30</v>
      </c>
      <c r="L9">
        <f>(tblSales[[#This Row],[Quantity]]*tblSales[[#This Row],[UnitPrice]])-tblSales[[#This Row],[Discount]]</f>
        <v>24</v>
      </c>
      <c r="M9" s="3" t="str">
        <f>TEXT(tblSales[[#This Row],[SaleDate]],"mmm")</f>
        <v>Jan</v>
      </c>
      <c r="N9">
        <f>HOUR(tblSales[[#This Row],[SaleTime]])</f>
        <v>13</v>
      </c>
      <c r="O9" s="3" t="str">
        <f>TEXT(tblSales[[#This Row],[SaleDate]],"ddd")</f>
        <v>Mon</v>
      </c>
      <c r="P9" t="s">
        <v>31</v>
      </c>
      <c r="Q9" t="s">
        <v>43</v>
      </c>
      <c r="R9" t="s">
        <v>33</v>
      </c>
      <c r="S9">
        <v>5</v>
      </c>
      <c r="T9">
        <f>tblSales[[#This Row],[Quantity]]*tblSales[[#This Row],[CostPrice]]</f>
        <v>10</v>
      </c>
      <c r="U9">
        <f>tblSales[[#This Row],[LineTotal]]-tblSales[[#This Row],[LineCost]]</f>
        <v>14</v>
      </c>
      <c r="V9" s="1">
        <f>IF(tblSales[[#This Row],[LineTotal]]=0,0,tblSales[[#This Row],[GrossProfit]]/tblSales[[#This Row],[LineTotal]])</f>
        <v>0.58333333333333337</v>
      </c>
      <c r="W9" s="2">
        <f>WEEKDAY(tblSales[[#This Row],[SaleDate]],2)</f>
        <v>1</v>
      </c>
    </row>
    <row r="10" spans="1:23" x14ac:dyDescent="0.4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>
        <v>2</v>
      </c>
      <c r="H10">
        <v>72</v>
      </c>
      <c r="I10">
        <v>5</v>
      </c>
      <c r="J10" t="s">
        <v>60</v>
      </c>
      <c r="K10" t="s">
        <v>30</v>
      </c>
      <c r="L10">
        <f>(tblSales[[#This Row],[Quantity]]*tblSales[[#This Row],[UnitPrice]])-tblSales[[#This Row],[Discount]]</f>
        <v>139</v>
      </c>
      <c r="M10" s="3" t="str">
        <f>TEXT(tblSales[[#This Row],[SaleDate]],"mmm")</f>
        <v>Jan</v>
      </c>
      <c r="N10">
        <f>HOUR(tblSales[[#This Row],[SaleTime]])</f>
        <v>12</v>
      </c>
      <c r="O10" s="3" t="str">
        <f>TEXT(tblSales[[#This Row],[SaleDate]],"ddd")</f>
        <v>Thu</v>
      </c>
      <c r="P10" t="s">
        <v>79</v>
      </c>
      <c r="Q10" t="s">
        <v>80</v>
      </c>
      <c r="R10" t="s">
        <v>63</v>
      </c>
      <c r="S10">
        <v>38</v>
      </c>
      <c r="T10">
        <f>tblSales[[#This Row],[Quantity]]*tblSales[[#This Row],[CostPrice]]</f>
        <v>76</v>
      </c>
      <c r="U10">
        <f>tblSales[[#This Row],[LineTotal]]-tblSales[[#This Row],[LineCost]]</f>
        <v>63</v>
      </c>
      <c r="V10" s="1">
        <f>IF(tblSales[[#This Row],[LineTotal]]=0,0,tblSales[[#This Row],[GrossProfit]]/tblSales[[#This Row],[LineTotal]])</f>
        <v>0.45323741007194246</v>
      </c>
      <c r="W10" s="2">
        <f>WEEKDAY(tblSales[[#This Row],[SaleDate]],2)</f>
        <v>4</v>
      </c>
    </row>
    <row r="11" spans="1:23" x14ac:dyDescent="0.45">
      <c r="A11" t="s">
        <v>81</v>
      </c>
      <c r="B11" t="s">
        <v>74</v>
      </c>
      <c r="C11" t="s">
        <v>75</v>
      </c>
      <c r="D11" t="s">
        <v>76</v>
      </c>
      <c r="E11" t="s">
        <v>77</v>
      </c>
      <c r="F11" t="s">
        <v>38</v>
      </c>
      <c r="G11">
        <v>2</v>
      </c>
      <c r="H11">
        <v>55</v>
      </c>
      <c r="I11">
        <v>5</v>
      </c>
      <c r="J11" t="s">
        <v>60</v>
      </c>
      <c r="K11" t="s">
        <v>30</v>
      </c>
      <c r="L11">
        <f>(tblSales[[#This Row],[Quantity]]*tblSales[[#This Row],[UnitPrice]])-tblSales[[#This Row],[Discount]]</f>
        <v>105</v>
      </c>
      <c r="M11" s="3" t="str">
        <f>TEXT(tblSales[[#This Row],[SaleDate]],"mmm")</f>
        <v>Jan</v>
      </c>
      <c r="N11">
        <f>HOUR(tblSales[[#This Row],[SaleTime]])</f>
        <v>12</v>
      </c>
      <c r="O11" s="3" t="str">
        <f>TEXT(tblSales[[#This Row],[SaleDate]],"ddd")</f>
        <v>Thu</v>
      </c>
      <c r="P11" t="s">
        <v>39</v>
      </c>
      <c r="Q11" t="s">
        <v>40</v>
      </c>
      <c r="R11" t="s">
        <v>63</v>
      </c>
      <c r="S11">
        <v>30</v>
      </c>
      <c r="T11">
        <f>tblSales[[#This Row],[Quantity]]*tblSales[[#This Row],[CostPrice]]</f>
        <v>60</v>
      </c>
      <c r="U11">
        <f>tblSales[[#This Row],[LineTotal]]-tblSales[[#This Row],[LineCost]]</f>
        <v>45</v>
      </c>
      <c r="V11" s="1">
        <f>IF(tblSales[[#This Row],[LineTotal]]=0,0,tblSales[[#This Row],[GrossProfit]]/tblSales[[#This Row],[LineTotal]])</f>
        <v>0.42857142857142855</v>
      </c>
      <c r="W11" s="2">
        <f>WEEKDAY(tblSales[[#This Row],[SaleDate]],2)</f>
        <v>4</v>
      </c>
    </row>
    <row r="12" spans="1:23" x14ac:dyDescent="0.45">
      <c r="A12" t="s">
        <v>82</v>
      </c>
      <c r="B12" t="s">
        <v>83</v>
      </c>
      <c r="C12" t="s">
        <v>84</v>
      </c>
      <c r="D12" t="s">
        <v>85</v>
      </c>
      <c r="E12" t="s">
        <v>27</v>
      </c>
      <c r="F12" t="s">
        <v>49</v>
      </c>
      <c r="G12">
        <v>1</v>
      </c>
      <c r="H12">
        <v>62</v>
      </c>
      <c r="I12">
        <v>0</v>
      </c>
      <c r="J12" t="s">
        <v>29</v>
      </c>
      <c r="K12" t="s">
        <v>86</v>
      </c>
      <c r="L12">
        <f>(tblSales[[#This Row],[Quantity]]*tblSales[[#This Row],[UnitPrice]])-tblSales[[#This Row],[Discount]]</f>
        <v>62</v>
      </c>
      <c r="M12" s="3" t="str">
        <f>TEXT(tblSales[[#This Row],[SaleDate]],"mmm")</f>
        <v>Jan</v>
      </c>
      <c r="N12">
        <f>HOUR(tblSales[[#This Row],[SaleTime]])</f>
        <v>20</v>
      </c>
      <c r="O12" s="3" t="str">
        <f>TEXT(tblSales[[#This Row],[SaleDate]],"ddd")</f>
        <v>Wed</v>
      </c>
      <c r="P12" t="s">
        <v>51</v>
      </c>
      <c r="Q12" t="s">
        <v>52</v>
      </c>
      <c r="R12" t="s">
        <v>33</v>
      </c>
      <c r="S12">
        <v>34</v>
      </c>
      <c r="T12">
        <f>tblSales[[#This Row],[Quantity]]*tblSales[[#This Row],[CostPrice]]</f>
        <v>34</v>
      </c>
      <c r="U12">
        <f>tblSales[[#This Row],[LineTotal]]-tblSales[[#This Row],[LineCost]]</f>
        <v>28</v>
      </c>
      <c r="V12" s="1">
        <f>IF(tblSales[[#This Row],[LineTotal]]=0,0,tblSales[[#This Row],[GrossProfit]]/tblSales[[#This Row],[LineTotal]])</f>
        <v>0.45161290322580644</v>
      </c>
      <c r="W12" s="2">
        <f>WEEKDAY(tblSales[[#This Row],[SaleDate]],2)</f>
        <v>3</v>
      </c>
    </row>
    <row r="13" spans="1:23" x14ac:dyDescent="0.45">
      <c r="A13" t="s">
        <v>87</v>
      </c>
      <c r="B13" t="s">
        <v>88</v>
      </c>
      <c r="C13" t="s">
        <v>89</v>
      </c>
      <c r="D13" t="s">
        <v>90</v>
      </c>
      <c r="E13" t="s">
        <v>69</v>
      </c>
      <c r="F13" t="s">
        <v>78</v>
      </c>
      <c r="G13">
        <v>1</v>
      </c>
      <c r="H13">
        <v>72</v>
      </c>
      <c r="I13">
        <v>0</v>
      </c>
      <c r="J13" t="s">
        <v>50</v>
      </c>
      <c r="K13" t="s">
        <v>30</v>
      </c>
      <c r="L13">
        <f>(tblSales[[#This Row],[Quantity]]*tblSales[[#This Row],[UnitPrice]])-tblSales[[#This Row],[Discount]]</f>
        <v>72</v>
      </c>
      <c r="M13" s="3" t="str">
        <f>TEXT(tblSales[[#This Row],[SaleDate]],"mmm")</f>
        <v>Jan</v>
      </c>
      <c r="N13">
        <f>HOUR(tblSales[[#This Row],[SaleTime]])</f>
        <v>22</v>
      </c>
      <c r="O13" s="3" t="str">
        <f>TEXT(tblSales[[#This Row],[SaleDate]],"ddd")</f>
        <v>Sun</v>
      </c>
      <c r="P13" t="s">
        <v>79</v>
      </c>
      <c r="Q13" t="s">
        <v>80</v>
      </c>
      <c r="R13" t="s">
        <v>53</v>
      </c>
      <c r="S13">
        <v>38</v>
      </c>
      <c r="T13">
        <f>tblSales[[#This Row],[Quantity]]*tblSales[[#This Row],[CostPrice]]</f>
        <v>38</v>
      </c>
      <c r="U13">
        <f>tblSales[[#This Row],[LineTotal]]-tblSales[[#This Row],[LineCost]]</f>
        <v>34</v>
      </c>
      <c r="V13" s="1">
        <f>IF(tblSales[[#This Row],[LineTotal]]=0,0,tblSales[[#This Row],[GrossProfit]]/tblSales[[#This Row],[LineTotal]])</f>
        <v>0.47222222222222221</v>
      </c>
      <c r="W13" s="2">
        <f>WEEKDAY(tblSales[[#This Row],[SaleDate]],2)</f>
        <v>7</v>
      </c>
    </row>
    <row r="14" spans="1:23" x14ac:dyDescent="0.45">
      <c r="A14" t="s">
        <v>91</v>
      </c>
      <c r="B14" t="s">
        <v>88</v>
      </c>
      <c r="C14" t="s">
        <v>89</v>
      </c>
      <c r="D14" t="s">
        <v>90</v>
      </c>
      <c r="E14" t="s">
        <v>69</v>
      </c>
      <c r="F14" t="s">
        <v>28</v>
      </c>
      <c r="G14">
        <v>1</v>
      </c>
      <c r="H14">
        <v>12</v>
      </c>
      <c r="I14">
        <v>0</v>
      </c>
      <c r="J14" t="s">
        <v>50</v>
      </c>
      <c r="K14" t="s">
        <v>30</v>
      </c>
      <c r="L14">
        <f>(tblSales[[#This Row],[Quantity]]*tblSales[[#This Row],[UnitPrice]])-tblSales[[#This Row],[Discount]]</f>
        <v>12</v>
      </c>
      <c r="M14" s="3" t="str">
        <f>TEXT(tblSales[[#This Row],[SaleDate]],"mmm")</f>
        <v>Jan</v>
      </c>
      <c r="N14">
        <f>HOUR(tblSales[[#This Row],[SaleTime]])</f>
        <v>22</v>
      </c>
      <c r="O14" s="3" t="str">
        <f>TEXT(tblSales[[#This Row],[SaleDate]],"ddd")</f>
        <v>Sun</v>
      </c>
      <c r="P14" t="s">
        <v>31</v>
      </c>
      <c r="Q14" t="s">
        <v>32</v>
      </c>
      <c r="R14" t="s">
        <v>53</v>
      </c>
      <c r="S14">
        <v>3</v>
      </c>
      <c r="T14">
        <f>tblSales[[#This Row],[Quantity]]*tblSales[[#This Row],[CostPrice]]</f>
        <v>3</v>
      </c>
      <c r="U14">
        <f>tblSales[[#This Row],[LineTotal]]-tblSales[[#This Row],[LineCost]]</f>
        <v>9</v>
      </c>
      <c r="V14" s="1">
        <f>IF(tblSales[[#This Row],[LineTotal]]=0,0,tblSales[[#This Row],[GrossProfit]]/tblSales[[#This Row],[LineTotal]])</f>
        <v>0.75</v>
      </c>
      <c r="W14" s="2">
        <f>WEEKDAY(tblSales[[#This Row],[SaleDate]],2)</f>
        <v>7</v>
      </c>
    </row>
    <row r="15" spans="1:23" x14ac:dyDescent="0.45">
      <c r="A15" t="s">
        <v>92</v>
      </c>
      <c r="B15" t="s">
        <v>88</v>
      </c>
      <c r="C15" t="s">
        <v>89</v>
      </c>
      <c r="D15" t="s">
        <v>90</v>
      </c>
      <c r="E15" t="s">
        <v>69</v>
      </c>
      <c r="F15" t="s">
        <v>49</v>
      </c>
      <c r="G15">
        <v>1</v>
      </c>
      <c r="H15">
        <v>62</v>
      </c>
      <c r="I15">
        <v>0</v>
      </c>
      <c r="J15" t="s">
        <v>50</v>
      </c>
      <c r="K15" t="s">
        <v>30</v>
      </c>
      <c r="L15">
        <f>(tblSales[[#This Row],[Quantity]]*tblSales[[#This Row],[UnitPrice]])-tblSales[[#This Row],[Discount]]</f>
        <v>62</v>
      </c>
      <c r="M15" s="3" t="str">
        <f>TEXT(tblSales[[#This Row],[SaleDate]],"mmm")</f>
        <v>Jan</v>
      </c>
      <c r="N15">
        <f>HOUR(tblSales[[#This Row],[SaleTime]])</f>
        <v>22</v>
      </c>
      <c r="O15" s="3" t="str">
        <f>TEXT(tblSales[[#This Row],[SaleDate]],"ddd")</f>
        <v>Sun</v>
      </c>
      <c r="P15" t="s">
        <v>51</v>
      </c>
      <c r="Q15" t="s">
        <v>52</v>
      </c>
      <c r="R15" t="s">
        <v>53</v>
      </c>
      <c r="S15">
        <v>34</v>
      </c>
      <c r="T15">
        <f>tblSales[[#This Row],[Quantity]]*tblSales[[#This Row],[CostPrice]]</f>
        <v>34</v>
      </c>
      <c r="U15">
        <f>tblSales[[#This Row],[LineTotal]]-tblSales[[#This Row],[LineCost]]</f>
        <v>28</v>
      </c>
      <c r="V15" s="1">
        <f>IF(tblSales[[#This Row],[LineTotal]]=0,0,tblSales[[#This Row],[GrossProfit]]/tblSales[[#This Row],[LineTotal]])</f>
        <v>0.45161290322580644</v>
      </c>
      <c r="W15" s="2">
        <f>WEEKDAY(tblSales[[#This Row],[SaleDate]],2)</f>
        <v>7</v>
      </c>
    </row>
    <row r="16" spans="1:23" x14ac:dyDescent="0.45">
      <c r="A16" t="s">
        <v>93</v>
      </c>
      <c r="B16" t="s">
        <v>94</v>
      </c>
      <c r="C16" t="s">
        <v>95</v>
      </c>
      <c r="D16" t="s">
        <v>96</v>
      </c>
      <c r="E16" t="s">
        <v>37</v>
      </c>
      <c r="F16" t="s">
        <v>97</v>
      </c>
      <c r="G16">
        <v>1</v>
      </c>
      <c r="H16">
        <v>60</v>
      </c>
      <c r="I16">
        <v>0</v>
      </c>
      <c r="J16" t="s">
        <v>50</v>
      </c>
      <c r="K16" t="s">
        <v>30</v>
      </c>
      <c r="L16">
        <f>(tblSales[[#This Row],[Quantity]]*tblSales[[#This Row],[UnitPrice]])-tblSales[[#This Row],[Discount]]</f>
        <v>60</v>
      </c>
      <c r="M16" s="3" t="str">
        <f>TEXT(tblSales[[#This Row],[SaleDate]],"mmm")</f>
        <v>Jan</v>
      </c>
      <c r="N16">
        <f>HOUR(tblSales[[#This Row],[SaleTime]])</f>
        <v>21</v>
      </c>
      <c r="O16" s="3" t="str">
        <f>TEXT(tblSales[[#This Row],[SaleDate]],"ddd")</f>
        <v>Tue</v>
      </c>
      <c r="P16" t="s">
        <v>79</v>
      </c>
      <c r="Q16" t="s">
        <v>98</v>
      </c>
      <c r="R16" t="s">
        <v>53</v>
      </c>
      <c r="S16">
        <v>32</v>
      </c>
      <c r="T16">
        <f>tblSales[[#This Row],[Quantity]]*tblSales[[#This Row],[CostPrice]]</f>
        <v>32</v>
      </c>
      <c r="U16">
        <f>tblSales[[#This Row],[LineTotal]]-tblSales[[#This Row],[LineCost]]</f>
        <v>28</v>
      </c>
      <c r="V16" s="1">
        <f>IF(tblSales[[#This Row],[LineTotal]]=0,0,tblSales[[#This Row],[GrossProfit]]/tblSales[[#This Row],[LineTotal]])</f>
        <v>0.46666666666666667</v>
      </c>
      <c r="W16" s="2">
        <f>WEEKDAY(tblSales[[#This Row],[SaleDate]],2)</f>
        <v>2</v>
      </c>
    </row>
    <row r="17" spans="1:23" x14ac:dyDescent="0.4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>
        <v>1</v>
      </c>
      <c r="H17">
        <v>18</v>
      </c>
      <c r="I17">
        <v>0</v>
      </c>
      <c r="J17" t="s">
        <v>60</v>
      </c>
      <c r="K17" t="s">
        <v>30</v>
      </c>
      <c r="L17">
        <f>(tblSales[[#This Row],[Quantity]]*tblSales[[#This Row],[UnitPrice]])-tblSales[[#This Row],[Discount]]</f>
        <v>18</v>
      </c>
      <c r="M17" s="3" t="str">
        <f>TEXT(tblSales[[#This Row],[SaleDate]],"mmm")</f>
        <v>Jan</v>
      </c>
      <c r="N17">
        <f>HOUR(tblSales[[#This Row],[SaleTime]])</f>
        <v>10</v>
      </c>
      <c r="O17" s="3" t="str">
        <f>TEXT(tblSales[[#This Row],[SaleDate]],"ddd")</f>
        <v>Wed</v>
      </c>
      <c r="P17" t="s">
        <v>105</v>
      </c>
      <c r="Q17" t="s">
        <v>106</v>
      </c>
      <c r="R17" t="s">
        <v>63</v>
      </c>
      <c r="S17">
        <v>8</v>
      </c>
      <c r="T17">
        <f>tblSales[[#This Row],[Quantity]]*tblSales[[#This Row],[CostPrice]]</f>
        <v>8</v>
      </c>
      <c r="U17">
        <f>tblSales[[#This Row],[LineTotal]]-tblSales[[#This Row],[LineCost]]</f>
        <v>10</v>
      </c>
      <c r="V17" s="1">
        <f>IF(tblSales[[#This Row],[LineTotal]]=0,0,tblSales[[#This Row],[GrossProfit]]/tblSales[[#This Row],[LineTotal]])</f>
        <v>0.55555555555555558</v>
      </c>
      <c r="W17" s="2">
        <f>WEEKDAY(tblSales[[#This Row],[SaleDate]],2)</f>
        <v>3</v>
      </c>
    </row>
    <row r="18" spans="1:23" x14ac:dyDescent="0.45">
      <c r="A18" t="s">
        <v>107</v>
      </c>
      <c r="B18" t="s">
        <v>100</v>
      </c>
      <c r="C18" t="s">
        <v>101</v>
      </c>
      <c r="D18" t="s">
        <v>102</v>
      </c>
      <c r="E18" t="s">
        <v>103</v>
      </c>
      <c r="F18" t="s">
        <v>108</v>
      </c>
      <c r="G18">
        <v>1</v>
      </c>
      <c r="H18">
        <v>8</v>
      </c>
      <c r="I18">
        <v>0</v>
      </c>
      <c r="J18" t="s">
        <v>60</v>
      </c>
      <c r="K18" t="s">
        <v>30</v>
      </c>
      <c r="L18">
        <f>(tblSales[[#This Row],[Quantity]]*tblSales[[#This Row],[UnitPrice]])-tblSales[[#This Row],[Discount]]</f>
        <v>8</v>
      </c>
      <c r="M18" s="3" t="str">
        <f>TEXT(tblSales[[#This Row],[SaleDate]],"mmm")</f>
        <v>Jan</v>
      </c>
      <c r="N18">
        <f>HOUR(tblSales[[#This Row],[SaleTime]])</f>
        <v>10</v>
      </c>
      <c r="O18" s="3" t="str">
        <f>TEXT(tblSales[[#This Row],[SaleDate]],"ddd")</f>
        <v>Wed</v>
      </c>
      <c r="P18" t="s">
        <v>31</v>
      </c>
      <c r="Q18" t="s">
        <v>109</v>
      </c>
      <c r="R18" t="s">
        <v>63</v>
      </c>
      <c r="S18">
        <v>2</v>
      </c>
      <c r="T18">
        <f>tblSales[[#This Row],[Quantity]]*tblSales[[#This Row],[CostPrice]]</f>
        <v>2</v>
      </c>
      <c r="U18">
        <f>tblSales[[#This Row],[LineTotal]]-tblSales[[#This Row],[LineCost]]</f>
        <v>6</v>
      </c>
      <c r="V18" s="1">
        <f>IF(tblSales[[#This Row],[LineTotal]]=0,0,tblSales[[#This Row],[GrossProfit]]/tblSales[[#This Row],[LineTotal]])</f>
        <v>0.75</v>
      </c>
      <c r="W18" s="2">
        <f>WEEKDAY(tblSales[[#This Row],[SaleDate]],2)</f>
        <v>3</v>
      </c>
    </row>
    <row r="19" spans="1:23" x14ac:dyDescent="0.45">
      <c r="A19" t="s">
        <v>110</v>
      </c>
      <c r="B19" t="s">
        <v>100</v>
      </c>
      <c r="C19" t="s">
        <v>101</v>
      </c>
      <c r="D19" t="s">
        <v>102</v>
      </c>
      <c r="E19" t="s">
        <v>103</v>
      </c>
      <c r="F19" t="s">
        <v>111</v>
      </c>
      <c r="G19">
        <v>2</v>
      </c>
      <c r="H19">
        <v>12</v>
      </c>
      <c r="I19">
        <v>0</v>
      </c>
      <c r="J19" t="s">
        <v>60</v>
      </c>
      <c r="K19" t="s">
        <v>30</v>
      </c>
      <c r="L19">
        <f>(tblSales[[#This Row],[Quantity]]*tblSales[[#This Row],[UnitPrice]])-tblSales[[#This Row],[Discount]]</f>
        <v>24</v>
      </c>
      <c r="M19" s="3" t="str">
        <f>TEXT(tblSales[[#This Row],[SaleDate]],"mmm")</f>
        <v>Jan</v>
      </c>
      <c r="N19">
        <f>HOUR(tblSales[[#This Row],[SaleTime]])</f>
        <v>10</v>
      </c>
      <c r="O19" s="3" t="str">
        <f>TEXT(tblSales[[#This Row],[SaleDate]],"ddd")</f>
        <v>Wed</v>
      </c>
      <c r="P19" t="s">
        <v>31</v>
      </c>
      <c r="Q19" t="s">
        <v>112</v>
      </c>
      <c r="R19" t="s">
        <v>63</v>
      </c>
      <c r="S19">
        <v>5</v>
      </c>
      <c r="T19">
        <f>tblSales[[#This Row],[Quantity]]*tblSales[[#This Row],[CostPrice]]</f>
        <v>10</v>
      </c>
      <c r="U19">
        <f>tblSales[[#This Row],[LineTotal]]-tblSales[[#This Row],[LineCost]]</f>
        <v>14</v>
      </c>
      <c r="V19" s="1">
        <f>IF(tblSales[[#This Row],[LineTotal]]=0,0,tblSales[[#This Row],[GrossProfit]]/tblSales[[#This Row],[LineTotal]])</f>
        <v>0.58333333333333337</v>
      </c>
      <c r="W19" s="2">
        <f>WEEKDAY(tblSales[[#This Row],[SaleDate]],2)</f>
        <v>3</v>
      </c>
    </row>
    <row r="20" spans="1:23" x14ac:dyDescent="0.45">
      <c r="A20" t="s">
        <v>113</v>
      </c>
      <c r="B20" t="s">
        <v>114</v>
      </c>
      <c r="C20" t="s">
        <v>115</v>
      </c>
      <c r="D20" t="s">
        <v>116</v>
      </c>
      <c r="F20" t="s">
        <v>97</v>
      </c>
      <c r="G20">
        <v>2</v>
      </c>
      <c r="H20">
        <v>60</v>
      </c>
      <c r="I20">
        <v>0</v>
      </c>
      <c r="J20" t="s">
        <v>29</v>
      </c>
      <c r="K20" t="s">
        <v>30</v>
      </c>
      <c r="L20">
        <f>(tblSales[[#This Row],[Quantity]]*tblSales[[#This Row],[UnitPrice]])-tblSales[[#This Row],[Discount]]</f>
        <v>120</v>
      </c>
      <c r="M20" s="3" t="str">
        <f>TEXT(tblSales[[#This Row],[SaleDate]],"mmm")</f>
        <v>Jan</v>
      </c>
      <c r="N20">
        <f>HOUR(tblSales[[#This Row],[SaleTime]])</f>
        <v>19</v>
      </c>
      <c r="O20" s="3" t="str">
        <f>TEXT(tblSales[[#This Row],[SaleDate]],"ddd")</f>
        <v>Sat</v>
      </c>
      <c r="P20" t="s">
        <v>79</v>
      </c>
      <c r="Q20" t="s">
        <v>98</v>
      </c>
      <c r="R20" t="s">
        <v>33</v>
      </c>
      <c r="S20">
        <v>32</v>
      </c>
      <c r="T20">
        <f>tblSales[[#This Row],[Quantity]]*tblSales[[#This Row],[CostPrice]]</f>
        <v>64</v>
      </c>
      <c r="U20">
        <f>tblSales[[#This Row],[LineTotal]]-tblSales[[#This Row],[LineCost]]</f>
        <v>56</v>
      </c>
      <c r="V20" s="1">
        <f>IF(tblSales[[#This Row],[LineTotal]]=0,0,tblSales[[#This Row],[GrossProfit]]/tblSales[[#This Row],[LineTotal]])</f>
        <v>0.46666666666666667</v>
      </c>
      <c r="W20" s="2">
        <f>WEEKDAY(tblSales[[#This Row],[SaleDate]],2)</f>
        <v>6</v>
      </c>
    </row>
    <row r="21" spans="1:23" x14ac:dyDescent="0.4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104</v>
      </c>
      <c r="G21">
        <v>1</v>
      </c>
      <c r="H21">
        <v>18</v>
      </c>
      <c r="I21">
        <v>0</v>
      </c>
      <c r="J21" t="s">
        <v>29</v>
      </c>
      <c r="K21" t="s">
        <v>30</v>
      </c>
      <c r="L21">
        <f>(tblSales[[#This Row],[Quantity]]*tblSales[[#This Row],[UnitPrice]])-tblSales[[#This Row],[Discount]]</f>
        <v>18</v>
      </c>
      <c r="M21" s="3" t="str">
        <f>TEXT(tblSales[[#This Row],[SaleDate]],"mmm")</f>
        <v>Jan</v>
      </c>
      <c r="N21">
        <f>HOUR(tblSales[[#This Row],[SaleTime]])</f>
        <v>12</v>
      </c>
      <c r="O21" s="3" t="str">
        <f>TEXT(tblSales[[#This Row],[SaleDate]],"ddd")</f>
        <v>Tue</v>
      </c>
      <c r="P21" t="s">
        <v>105</v>
      </c>
      <c r="Q21" t="s">
        <v>106</v>
      </c>
      <c r="R21" t="s">
        <v>33</v>
      </c>
      <c r="S21">
        <v>8</v>
      </c>
      <c r="T21">
        <f>tblSales[[#This Row],[Quantity]]*tblSales[[#This Row],[CostPrice]]</f>
        <v>8</v>
      </c>
      <c r="U21">
        <f>tblSales[[#This Row],[LineTotal]]-tblSales[[#This Row],[LineCost]]</f>
        <v>10</v>
      </c>
      <c r="V21" s="1">
        <f>IF(tblSales[[#This Row],[LineTotal]]=0,0,tblSales[[#This Row],[GrossProfit]]/tblSales[[#This Row],[LineTotal]])</f>
        <v>0.55555555555555558</v>
      </c>
      <c r="W21" s="2">
        <f>WEEKDAY(tblSales[[#This Row],[SaleDate]],2)</f>
        <v>2</v>
      </c>
    </row>
    <row r="22" spans="1:23" x14ac:dyDescent="0.45">
      <c r="A22" t="s">
        <v>122</v>
      </c>
      <c r="B22" t="s">
        <v>118</v>
      </c>
      <c r="C22" t="s">
        <v>119</v>
      </c>
      <c r="D22" t="s">
        <v>120</v>
      </c>
      <c r="E22" t="s">
        <v>121</v>
      </c>
      <c r="F22" t="s">
        <v>123</v>
      </c>
      <c r="G22">
        <v>2</v>
      </c>
      <c r="H22">
        <v>28</v>
      </c>
      <c r="I22">
        <v>0</v>
      </c>
      <c r="J22" t="s">
        <v>29</v>
      </c>
      <c r="K22" t="s">
        <v>30</v>
      </c>
      <c r="L22">
        <f>(tblSales[[#This Row],[Quantity]]*tblSales[[#This Row],[UnitPrice]])-tblSales[[#This Row],[Discount]]</f>
        <v>56</v>
      </c>
      <c r="M22" s="3" t="str">
        <f>TEXT(tblSales[[#This Row],[SaleDate]],"mmm")</f>
        <v>Jan</v>
      </c>
      <c r="N22">
        <f>HOUR(tblSales[[#This Row],[SaleTime]])</f>
        <v>12</v>
      </c>
      <c r="O22" s="3" t="str">
        <f>TEXT(tblSales[[#This Row],[SaleDate]],"ddd")</f>
        <v>Tue</v>
      </c>
      <c r="P22" t="s">
        <v>124</v>
      </c>
      <c r="Q22" t="s">
        <v>125</v>
      </c>
      <c r="R22" t="s">
        <v>33</v>
      </c>
      <c r="S22">
        <v>12</v>
      </c>
      <c r="T22">
        <f>tblSales[[#This Row],[Quantity]]*tblSales[[#This Row],[CostPrice]]</f>
        <v>24</v>
      </c>
      <c r="U22">
        <f>tblSales[[#This Row],[LineTotal]]-tblSales[[#This Row],[LineCost]]</f>
        <v>32</v>
      </c>
      <c r="V22" s="1">
        <f>IF(tblSales[[#This Row],[LineTotal]]=0,0,tblSales[[#This Row],[GrossProfit]]/tblSales[[#This Row],[LineTotal]])</f>
        <v>0.5714285714285714</v>
      </c>
      <c r="W22" s="2">
        <f>WEEKDAY(tblSales[[#This Row],[SaleDate]],2)</f>
        <v>2</v>
      </c>
    </row>
    <row r="23" spans="1:23" x14ac:dyDescent="0.45">
      <c r="A23" t="s">
        <v>126</v>
      </c>
      <c r="B23" t="s">
        <v>127</v>
      </c>
      <c r="C23" t="s">
        <v>128</v>
      </c>
      <c r="D23" t="s">
        <v>129</v>
      </c>
      <c r="E23" t="s">
        <v>77</v>
      </c>
      <c r="F23" t="s">
        <v>38</v>
      </c>
      <c r="G23">
        <v>2</v>
      </c>
      <c r="H23">
        <v>55</v>
      </c>
      <c r="I23">
        <v>5</v>
      </c>
      <c r="J23" t="s">
        <v>29</v>
      </c>
      <c r="K23" t="s">
        <v>30</v>
      </c>
      <c r="L23">
        <f>(tblSales[[#This Row],[Quantity]]*tblSales[[#This Row],[UnitPrice]])-tblSales[[#This Row],[Discount]]</f>
        <v>105</v>
      </c>
      <c r="M23" s="3" t="str">
        <f>TEXT(tblSales[[#This Row],[SaleDate]],"mmm")</f>
        <v>Feb</v>
      </c>
      <c r="N23">
        <f>HOUR(tblSales[[#This Row],[SaleTime]])</f>
        <v>12</v>
      </c>
      <c r="O23" s="3" t="str">
        <f>TEXT(tblSales[[#This Row],[SaleDate]],"ddd")</f>
        <v>Sun</v>
      </c>
      <c r="P23" t="s">
        <v>39</v>
      </c>
      <c r="Q23" t="s">
        <v>40</v>
      </c>
      <c r="R23" t="s">
        <v>33</v>
      </c>
      <c r="S23">
        <v>30</v>
      </c>
      <c r="T23">
        <f>tblSales[[#This Row],[Quantity]]*tblSales[[#This Row],[CostPrice]]</f>
        <v>60</v>
      </c>
      <c r="U23">
        <f>tblSales[[#This Row],[LineTotal]]-tblSales[[#This Row],[LineCost]]</f>
        <v>45</v>
      </c>
      <c r="V23" s="1">
        <f>IF(tblSales[[#This Row],[LineTotal]]=0,0,tblSales[[#This Row],[GrossProfit]]/tblSales[[#This Row],[LineTotal]])</f>
        <v>0.42857142857142855</v>
      </c>
      <c r="W23" s="2">
        <f>WEEKDAY(tblSales[[#This Row],[SaleDate]],2)</f>
        <v>7</v>
      </c>
    </row>
    <row r="24" spans="1:23" x14ac:dyDescent="0.45">
      <c r="A24" t="s">
        <v>130</v>
      </c>
      <c r="B24" t="s">
        <v>131</v>
      </c>
      <c r="C24" t="s">
        <v>128</v>
      </c>
      <c r="D24" t="s">
        <v>132</v>
      </c>
      <c r="E24" t="s">
        <v>133</v>
      </c>
      <c r="F24" t="s">
        <v>49</v>
      </c>
      <c r="G24">
        <v>1</v>
      </c>
      <c r="H24">
        <v>62</v>
      </c>
      <c r="I24">
        <v>10</v>
      </c>
      <c r="J24" t="s">
        <v>60</v>
      </c>
      <c r="K24" t="s">
        <v>30</v>
      </c>
      <c r="L24">
        <f>(tblSales[[#This Row],[Quantity]]*tblSales[[#This Row],[UnitPrice]])-tblSales[[#This Row],[Discount]]</f>
        <v>52</v>
      </c>
      <c r="M24" s="3" t="str">
        <f>TEXT(tblSales[[#This Row],[SaleDate]],"mmm")</f>
        <v>Feb</v>
      </c>
      <c r="N24">
        <f>HOUR(tblSales[[#This Row],[SaleTime]])</f>
        <v>12</v>
      </c>
      <c r="O24" s="3" t="str">
        <f>TEXT(tblSales[[#This Row],[SaleDate]],"ddd")</f>
        <v>Sun</v>
      </c>
      <c r="P24" t="s">
        <v>51</v>
      </c>
      <c r="Q24" t="s">
        <v>52</v>
      </c>
      <c r="R24" t="s">
        <v>63</v>
      </c>
      <c r="S24">
        <v>34</v>
      </c>
      <c r="T24">
        <f>tblSales[[#This Row],[Quantity]]*tblSales[[#This Row],[CostPrice]]</f>
        <v>34</v>
      </c>
      <c r="U24">
        <f>tblSales[[#This Row],[LineTotal]]-tblSales[[#This Row],[LineCost]]</f>
        <v>18</v>
      </c>
      <c r="V24" s="1">
        <f>IF(tblSales[[#This Row],[LineTotal]]=0,0,tblSales[[#This Row],[GrossProfit]]/tblSales[[#This Row],[LineTotal]])</f>
        <v>0.34615384615384615</v>
      </c>
      <c r="W24" s="2">
        <f>WEEKDAY(tblSales[[#This Row],[SaleDate]],2)</f>
        <v>7</v>
      </c>
    </row>
    <row r="25" spans="1:23" x14ac:dyDescent="0.45">
      <c r="A25" t="s">
        <v>134</v>
      </c>
      <c r="B25" t="s">
        <v>131</v>
      </c>
      <c r="C25" t="s">
        <v>128</v>
      </c>
      <c r="D25" t="s">
        <v>132</v>
      </c>
      <c r="E25" t="s">
        <v>133</v>
      </c>
      <c r="F25" t="s">
        <v>104</v>
      </c>
      <c r="G25">
        <v>1</v>
      </c>
      <c r="H25">
        <v>18</v>
      </c>
      <c r="I25">
        <v>10</v>
      </c>
      <c r="J25" t="s">
        <v>60</v>
      </c>
      <c r="K25" t="s">
        <v>30</v>
      </c>
      <c r="L25">
        <f>(tblSales[[#This Row],[Quantity]]*tblSales[[#This Row],[UnitPrice]])-tblSales[[#This Row],[Discount]]</f>
        <v>8</v>
      </c>
      <c r="M25" s="3" t="str">
        <f>TEXT(tblSales[[#This Row],[SaleDate]],"mmm")</f>
        <v>Feb</v>
      </c>
      <c r="N25">
        <f>HOUR(tblSales[[#This Row],[SaleTime]])</f>
        <v>12</v>
      </c>
      <c r="O25" s="3" t="str">
        <f>TEXT(tblSales[[#This Row],[SaleDate]],"ddd")</f>
        <v>Sun</v>
      </c>
      <c r="P25" t="s">
        <v>105</v>
      </c>
      <c r="Q25" t="s">
        <v>106</v>
      </c>
      <c r="R25" t="s">
        <v>63</v>
      </c>
      <c r="S25">
        <v>8</v>
      </c>
      <c r="T25">
        <f>tblSales[[#This Row],[Quantity]]*tblSales[[#This Row],[CostPrice]]</f>
        <v>8</v>
      </c>
      <c r="U25">
        <f>tblSales[[#This Row],[LineTotal]]-tblSales[[#This Row],[LineCost]]</f>
        <v>0</v>
      </c>
      <c r="V25" s="1">
        <f>IF(tblSales[[#This Row],[LineTotal]]=0,0,tblSales[[#This Row],[GrossProfit]]/tblSales[[#This Row],[LineTotal]])</f>
        <v>0</v>
      </c>
      <c r="W25" s="2">
        <f>WEEKDAY(tblSales[[#This Row],[SaleDate]],2)</f>
        <v>7</v>
      </c>
    </row>
    <row r="26" spans="1:23" x14ac:dyDescent="0.4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>
        <v>2</v>
      </c>
      <c r="H26">
        <v>22</v>
      </c>
      <c r="I26">
        <v>0</v>
      </c>
      <c r="J26" t="s">
        <v>60</v>
      </c>
      <c r="K26" t="s">
        <v>86</v>
      </c>
      <c r="L26">
        <f>(tblSales[[#This Row],[Quantity]]*tblSales[[#This Row],[UnitPrice]])-tblSales[[#This Row],[Discount]]</f>
        <v>44</v>
      </c>
      <c r="M26" s="3" t="str">
        <f>TEXT(tblSales[[#This Row],[SaleDate]],"mmm")</f>
        <v>Feb</v>
      </c>
      <c r="N26">
        <f>HOUR(tblSales[[#This Row],[SaleTime]])</f>
        <v>22</v>
      </c>
      <c r="O26" s="3" t="str">
        <f>TEXT(tblSales[[#This Row],[SaleDate]],"ddd")</f>
        <v>Thu</v>
      </c>
      <c r="P26" t="s">
        <v>124</v>
      </c>
      <c r="Q26" t="s">
        <v>141</v>
      </c>
      <c r="R26" t="s">
        <v>63</v>
      </c>
      <c r="S26">
        <v>10</v>
      </c>
      <c r="T26">
        <f>tblSales[[#This Row],[Quantity]]*tblSales[[#This Row],[CostPrice]]</f>
        <v>20</v>
      </c>
      <c r="U26">
        <f>tblSales[[#This Row],[LineTotal]]-tblSales[[#This Row],[LineCost]]</f>
        <v>24</v>
      </c>
      <c r="V26" s="1">
        <f>IF(tblSales[[#This Row],[LineTotal]]=0,0,tblSales[[#This Row],[GrossProfit]]/tblSales[[#This Row],[LineTotal]])</f>
        <v>0.54545454545454541</v>
      </c>
      <c r="W26" s="2">
        <f>WEEKDAY(tblSales[[#This Row],[SaleDate]],2)</f>
        <v>4</v>
      </c>
    </row>
    <row r="27" spans="1:23" x14ac:dyDescent="0.45">
      <c r="A27" t="s">
        <v>142</v>
      </c>
      <c r="B27" t="s">
        <v>136</v>
      </c>
      <c r="C27" t="s">
        <v>137</v>
      </c>
      <c r="D27" t="s">
        <v>138</v>
      </c>
      <c r="E27" t="s">
        <v>139</v>
      </c>
      <c r="F27" t="s">
        <v>123</v>
      </c>
      <c r="G27">
        <v>1</v>
      </c>
      <c r="H27">
        <v>28</v>
      </c>
      <c r="I27">
        <v>0</v>
      </c>
      <c r="J27" t="s">
        <v>60</v>
      </c>
      <c r="K27" t="s">
        <v>86</v>
      </c>
      <c r="L27">
        <f>(tblSales[[#This Row],[Quantity]]*tblSales[[#This Row],[UnitPrice]])-tblSales[[#This Row],[Discount]]</f>
        <v>28</v>
      </c>
      <c r="M27" s="3" t="str">
        <f>TEXT(tblSales[[#This Row],[SaleDate]],"mmm")</f>
        <v>Feb</v>
      </c>
      <c r="N27">
        <f>HOUR(tblSales[[#This Row],[SaleTime]])</f>
        <v>22</v>
      </c>
      <c r="O27" s="3" t="str">
        <f>TEXT(tblSales[[#This Row],[SaleDate]],"ddd")</f>
        <v>Thu</v>
      </c>
      <c r="P27" t="s">
        <v>124</v>
      </c>
      <c r="Q27" t="s">
        <v>125</v>
      </c>
      <c r="R27" t="s">
        <v>63</v>
      </c>
      <c r="S27">
        <v>12</v>
      </c>
      <c r="T27">
        <f>tblSales[[#This Row],[Quantity]]*tblSales[[#This Row],[CostPrice]]</f>
        <v>12</v>
      </c>
      <c r="U27">
        <f>tblSales[[#This Row],[LineTotal]]-tblSales[[#This Row],[LineCost]]</f>
        <v>16</v>
      </c>
      <c r="V27" s="1">
        <f>IF(tblSales[[#This Row],[LineTotal]]=0,0,tblSales[[#This Row],[GrossProfit]]/tblSales[[#This Row],[LineTotal]])</f>
        <v>0.5714285714285714</v>
      </c>
      <c r="W27" s="2">
        <f>WEEKDAY(tblSales[[#This Row],[SaleDate]],2)</f>
        <v>4</v>
      </c>
    </row>
    <row r="28" spans="1:23" x14ac:dyDescent="0.45">
      <c r="A28" t="s">
        <v>143</v>
      </c>
      <c r="B28" t="s">
        <v>136</v>
      </c>
      <c r="C28" t="s">
        <v>137</v>
      </c>
      <c r="D28" t="s">
        <v>138</v>
      </c>
      <c r="E28" t="s">
        <v>139</v>
      </c>
      <c r="F28" t="s">
        <v>104</v>
      </c>
      <c r="G28">
        <v>2</v>
      </c>
      <c r="H28">
        <v>18</v>
      </c>
      <c r="I28">
        <v>0</v>
      </c>
      <c r="J28" t="s">
        <v>60</v>
      </c>
      <c r="K28" t="s">
        <v>86</v>
      </c>
      <c r="L28">
        <f>(tblSales[[#This Row],[Quantity]]*tblSales[[#This Row],[UnitPrice]])-tblSales[[#This Row],[Discount]]</f>
        <v>36</v>
      </c>
      <c r="M28" s="3" t="str">
        <f>TEXT(tblSales[[#This Row],[SaleDate]],"mmm")</f>
        <v>Feb</v>
      </c>
      <c r="N28">
        <f>HOUR(tblSales[[#This Row],[SaleTime]])</f>
        <v>22</v>
      </c>
      <c r="O28" s="3" t="str">
        <f>TEXT(tblSales[[#This Row],[SaleDate]],"ddd")</f>
        <v>Thu</v>
      </c>
      <c r="P28" t="s">
        <v>105</v>
      </c>
      <c r="Q28" t="s">
        <v>106</v>
      </c>
      <c r="R28" t="s">
        <v>63</v>
      </c>
      <c r="S28">
        <v>8</v>
      </c>
      <c r="T28">
        <f>tblSales[[#This Row],[Quantity]]*tblSales[[#This Row],[CostPrice]]</f>
        <v>16</v>
      </c>
      <c r="U28">
        <f>tblSales[[#This Row],[LineTotal]]-tblSales[[#This Row],[LineCost]]</f>
        <v>20</v>
      </c>
      <c r="V28" s="1">
        <f>IF(tblSales[[#This Row],[LineTotal]]=0,0,tblSales[[#This Row],[GrossProfit]]/tblSales[[#This Row],[LineTotal]])</f>
        <v>0.55555555555555558</v>
      </c>
      <c r="W28" s="2">
        <f>WEEKDAY(tblSales[[#This Row],[SaleDate]],2)</f>
        <v>4</v>
      </c>
    </row>
    <row r="29" spans="1:23" x14ac:dyDescent="0.4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108</v>
      </c>
      <c r="G29">
        <v>2</v>
      </c>
      <c r="H29">
        <v>8</v>
      </c>
      <c r="I29">
        <v>0</v>
      </c>
      <c r="J29" t="s">
        <v>60</v>
      </c>
      <c r="K29" t="s">
        <v>86</v>
      </c>
      <c r="L29">
        <f>(tblSales[[#This Row],[Quantity]]*tblSales[[#This Row],[UnitPrice]])-tblSales[[#This Row],[Discount]]</f>
        <v>16</v>
      </c>
      <c r="M29" s="3" t="str">
        <f>TEXT(tblSales[[#This Row],[SaleDate]],"mmm")</f>
        <v>Feb</v>
      </c>
      <c r="N29">
        <f>HOUR(tblSales[[#This Row],[SaleTime]])</f>
        <v>21</v>
      </c>
      <c r="O29" s="3" t="str">
        <f>TEXT(tblSales[[#This Row],[SaleDate]],"ddd")</f>
        <v>Fri</v>
      </c>
      <c r="P29" t="s">
        <v>31</v>
      </c>
      <c r="Q29" t="s">
        <v>109</v>
      </c>
      <c r="R29" t="s">
        <v>63</v>
      </c>
      <c r="S29">
        <v>2</v>
      </c>
      <c r="T29">
        <f>tblSales[[#This Row],[Quantity]]*tblSales[[#This Row],[CostPrice]]</f>
        <v>4</v>
      </c>
      <c r="U29">
        <f>tblSales[[#This Row],[LineTotal]]-tblSales[[#This Row],[LineCost]]</f>
        <v>12</v>
      </c>
      <c r="V29" s="1">
        <f>IF(tblSales[[#This Row],[LineTotal]]=0,0,tblSales[[#This Row],[GrossProfit]]/tblSales[[#This Row],[LineTotal]])</f>
        <v>0.75</v>
      </c>
      <c r="W29" s="2">
        <f>WEEKDAY(tblSales[[#This Row],[SaleDate]],2)</f>
        <v>5</v>
      </c>
    </row>
    <row r="30" spans="1:23" x14ac:dyDescent="0.45">
      <c r="A30" t="s">
        <v>149</v>
      </c>
      <c r="B30" t="s">
        <v>150</v>
      </c>
      <c r="C30" t="s">
        <v>146</v>
      </c>
      <c r="D30" t="s">
        <v>151</v>
      </c>
      <c r="E30" t="s">
        <v>58</v>
      </c>
      <c r="F30" t="s">
        <v>97</v>
      </c>
      <c r="G30">
        <v>2</v>
      </c>
      <c r="H30">
        <v>60</v>
      </c>
      <c r="I30">
        <v>0</v>
      </c>
      <c r="J30" t="s">
        <v>29</v>
      </c>
      <c r="K30" t="s">
        <v>30</v>
      </c>
      <c r="L30">
        <f>(tblSales[[#This Row],[Quantity]]*tblSales[[#This Row],[UnitPrice]])-tblSales[[#This Row],[Discount]]</f>
        <v>120</v>
      </c>
      <c r="M30" s="3" t="str">
        <f>TEXT(tblSales[[#This Row],[SaleDate]],"mmm")</f>
        <v>Feb</v>
      </c>
      <c r="N30">
        <f>HOUR(tblSales[[#This Row],[SaleTime]])</f>
        <v>10</v>
      </c>
      <c r="O30" s="3" t="str">
        <f>TEXT(tblSales[[#This Row],[SaleDate]],"ddd")</f>
        <v>Fri</v>
      </c>
      <c r="P30" t="s">
        <v>79</v>
      </c>
      <c r="Q30" t="s">
        <v>98</v>
      </c>
      <c r="R30" t="s">
        <v>33</v>
      </c>
      <c r="S30">
        <v>32</v>
      </c>
      <c r="T30">
        <f>tblSales[[#This Row],[Quantity]]*tblSales[[#This Row],[CostPrice]]</f>
        <v>64</v>
      </c>
      <c r="U30">
        <f>tblSales[[#This Row],[LineTotal]]-tblSales[[#This Row],[LineCost]]</f>
        <v>56</v>
      </c>
      <c r="V30" s="1">
        <f>IF(tblSales[[#This Row],[LineTotal]]=0,0,tblSales[[#This Row],[GrossProfit]]/tblSales[[#This Row],[LineTotal]])</f>
        <v>0.46666666666666667</v>
      </c>
      <c r="W30" s="2">
        <f>WEEKDAY(tblSales[[#This Row],[SaleDate]],2)</f>
        <v>5</v>
      </c>
    </row>
    <row r="31" spans="1:23" x14ac:dyDescent="0.45">
      <c r="A31" t="s">
        <v>152</v>
      </c>
      <c r="B31" t="s">
        <v>150</v>
      </c>
      <c r="C31" t="s">
        <v>146</v>
      </c>
      <c r="D31" t="s">
        <v>151</v>
      </c>
      <c r="E31" t="s">
        <v>58</v>
      </c>
      <c r="F31" t="s">
        <v>140</v>
      </c>
      <c r="G31">
        <v>1</v>
      </c>
      <c r="H31">
        <v>22</v>
      </c>
      <c r="I31">
        <v>0</v>
      </c>
      <c r="J31" t="s">
        <v>29</v>
      </c>
      <c r="K31" t="s">
        <v>30</v>
      </c>
      <c r="L31">
        <f>(tblSales[[#This Row],[Quantity]]*tblSales[[#This Row],[UnitPrice]])-tblSales[[#This Row],[Discount]]</f>
        <v>22</v>
      </c>
      <c r="M31" s="3" t="str">
        <f>TEXT(tblSales[[#This Row],[SaleDate]],"mmm")</f>
        <v>Feb</v>
      </c>
      <c r="N31">
        <f>HOUR(tblSales[[#This Row],[SaleTime]])</f>
        <v>10</v>
      </c>
      <c r="O31" s="3" t="str">
        <f>TEXT(tblSales[[#This Row],[SaleDate]],"ddd")</f>
        <v>Fri</v>
      </c>
      <c r="P31" t="s">
        <v>124</v>
      </c>
      <c r="Q31" t="s">
        <v>141</v>
      </c>
      <c r="R31" t="s">
        <v>33</v>
      </c>
      <c r="S31">
        <v>10</v>
      </c>
      <c r="T31">
        <f>tblSales[[#This Row],[Quantity]]*tblSales[[#This Row],[CostPrice]]</f>
        <v>10</v>
      </c>
      <c r="U31">
        <f>tblSales[[#This Row],[LineTotal]]-tblSales[[#This Row],[LineCost]]</f>
        <v>12</v>
      </c>
      <c r="V31" s="1">
        <f>IF(tblSales[[#This Row],[LineTotal]]=0,0,tblSales[[#This Row],[GrossProfit]]/tblSales[[#This Row],[LineTotal]])</f>
        <v>0.54545454545454541</v>
      </c>
      <c r="W31" s="2">
        <f>WEEKDAY(tblSales[[#This Row],[SaleDate]],2)</f>
        <v>5</v>
      </c>
    </row>
    <row r="32" spans="1:23" x14ac:dyDescent="0.45">
      <c r="A32" t="s">
        <v>153</v>
      </c>
      <c r="B32" t="s">
        <v>154</v>
      </c>
      <c r="C32" t="s">
        <v>155</v>
      </c>
      <c r="D32" t="s">
        <v>156</v>
      </c>
      <c r="F32" t="s">
        <v>42</v>
      </c>
      <c r="G32">
        <v>2</v>
      </c>
      <c r="H32">
        <v>12</v>
      </c>
      <c r="I32">
        <v>0</v>
      </c>
      <c r="J32" t="s">
        <v>60</v>
      </c>
      <c r="K32" t="s">
        <v>157</v>
      </c>
      <c r="L32">
        <f>(tblSales[[#This Row],[Quantity]]*tblSales[[#This Row],[UnitPrice]])-tblSales[[#This Row],[Discount]]</f>
        <v>24</v>
      </c>
      <c r="M32" s="3" t="str">
        <f>TEXT(tblSales[[#This Row],[SaleDate]],"mmm")</f>
        <v>Feb</v>
      </c>
      <c r="N32">
        <f>HOUR(tblSales[[#This Row],[SaleTime]])</f>
        <v>19</v>
      </c>
      <c r="O32" s="3" t="str">
        <f>TEXT(tblSales[[#This Row],[SaleDate]],"ddd")</f>
        <v>Sun</v>
      </c>
      <c r="P32" t="s">
        <v>31</v>
      </c>
      <c r="Q32" t="s">
        <v>43</v>
      </c>
      <c r="R32" t="s">
        <v>63</v>
      </c>
      <c r="S32">
        <v>5</v>
      </c>
      <c r="T32">
        <f>tblSales[[#This Row],[Quantity]]*tblSales[[#This Row],[CostPrice]]</f>
        <v>10</v>
      </c>
      <c r="U32">
        <f>tblSales[[#This Row],[LineTotal]]-tblSales[[#This Row],[LineCost]]</f>
        <v>14</v>
      </c>
      <c r="V32" s="1">
        <f>IF(tblSales[[#This Row],[LineTotal]]=0,0,tblSales[[#This Row],[GrossProfit]]/tblSales[[#This Row],[LineTotal]])</f>
        <v>0.58333333333333337</v>
      </c>
      <c r="W32" s="2">
        <f>WEEKDAY(tblSales[[#This Row],[SaleDate]],2)</f>
        <v>7</v>
      </c>
    </row>
    <row r="33" spans="1:23" x14ac:dyDescent="0.45">
      <c r="A33" t="s">
        <v>158</v>
      </c>
      <c r="B33" t="s">
        <v>159</v>
      </c>
      <c r="C33" t="s">
        <v>160</v>
      </c>
      <c r="D33" t="s">
        <v>161</v>
      </c>
      <c r="F33" t="s">
        <v>140</v>
      </c>
      <c r="G33">
        <v>1</v>
      </c>
      <c r="H33">
        <v>22</v>
      </c>
      <c r="I33">
        <v>0</v>
      </c>
      <c r="J33" t="s">
        <v>60</v>
      </c>
      <c r="K33" t="s">
        <v>30</v>
      </c>
      <c r="L33">
        <f>(tblSales[[#This Row],[Quantity]]*tblSales[[#This Row],[UnitPrice]])-tblSales[[#This Row],[Discount]]</f>
        <v>22</v>
      </c>
      <c r="M33" s="3" t="str">
        <f>TEXT(tblSales[[#This Row],[SaleDate]],"mmm")</f>
        <v>Feb</v>
      </c>
      <c r="N33">
        <f>HOUR(tblSales[[#This Row],[SaleTime]])</f>
        <v>12</v>
      </c>
      <c r="O33" s="3" t="str">
        <f>TEXT(tblSales[[#This Row],[SaleDate]],"ddd")</f>
        <v>Mon</v>
      </c>
      <c r="P33" t="s">
        <v>124</v>
      </c>
      <c r="Q33" t="s">
        <v>141</v>
      </c>
      <c r="R33" t="s">
        <v>63</v>
      </c>
      <c r="S33">
        <v>10</v>
      </c>
      <c r="T33">
        <f>tblSales[[#This Row],[Quantity]]*tblSales[[#This Row],[CostPrice]]</f>
        <v>10</v>
      </c>
      <c r="U33">
        <f>tblSales[[#This Row],[LineTotal]]-tblSales[[#This Row],[LineCost]]</f>
        <v>12</v>
      </c>
      <c r="V33" s="1">
        <f>IF(tblSales[[#This Row],[LineTotal]]=0,0,tblSales[[#This Row],[GrossProfit]]/tblSales[[#This Row],[LineTotal]])</f>
        <v>0.54545454545454541</v>
      </c>
      <c r="W33" s="2">
        <f>WEEKDAY(tblSales[[#This Row],[SaleDate]],2)</f>
        <v>1</v>
      </c>
    </row>
    <row r="34" spans="1:23" x14ac:dyDescent="0.4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108</v>
      </c>
      <c r="G34">
        <v>1</v>
      </c>
      <c r="H34">
        <v>8</v>
      </c>
      <c r="I34">
        <v>10</v>
      </c>
      <c r="J34" t="s">
        <v>50</v>
      </c>
      <c r="K34" t="s">
        <v>30</v>
      </c>
      <c r="L34">
        <f>(tblSales[[#This Row],[Quantity]]*tblSales[[#This Row],[UnitPrice]])-tblSales[[#This Row],[Discount]]</f>
        <v>-2</v>
      </c>
      <c r="M34" s="3" t="str">
        <f>TEXT(tblSales[[#This Row],[SaleDate]],"mmm")</f>
        <v>Feb</v>
      </c>
      <c r="N34">
        <f>HOUR(tblSales[[#This Row],[SaleTime]])</f>
        <v>20</v>
      </c>
      <c r="O34" s="3" t="str">
        <f>TEXT(tblSales[[#This Row],[SaleDate]],"ddd")</f>
        <v>Wed</v>
      </c>
      <c r="P34" t="s">
        <v>31</v>
      </c>
      <c r="Q34" t="s">
        <v>109</v>
      </c>
      <c r="R34" t="s">
        <v>53</v>
      </c>
      <c r="S34">
        <v>2</v>
      </c>
      <c r="T34">
        <f>tblSales[[#This Row],[Quantity]]*tblSales[[#This Row],[CostPrice]]</f>
        <v>2</v>
      </c>
      <c r="U34">
        <f>tblSales[[#This Row],[LineTotal]]-tblSales[[#This Row],[LineCost]]</f>
        <v>-4</v>
      </c>
      <c r="V34" s="1">
        <f>IF(tblSales[[#This Row],[LineTotal]]=0,0,tblSales[[#This Row],[GrossProfit]]/tblSales[[#This Row],[LineTotal]])</f>
        <v>2</v>
      </c>
      <c r="W34" s="2">
        <f>WEEKDAY(tblSales[[#This Row],[SaleDate]],2)</f>
        <v>3</v>
      </c>
    </row>
    <row r="35" spans="1:23" x14ac:dyDescent="0.45">
      <c r="A35" t="s">
        <v>167</v>
      </c>
      <c r="B35" t="s">
        <v>163</v>
      </c>
      <c r="C35" t="s">
        <v>164</v>
      </c>
      <c r="D35" t="s">
        <v>165</v>
      </c>
      <c r="E35" t="s">
        <v>166</v>
      </c>
      <c r="F35" t="s">
        <v>104</v>
      </c>
      <c r="G35">
        <v>1</v>
      </c>
      <c r="H35">
        <v>18</v>
      </c>
      <c r="I35">
        <v>10</v>
      </c>
      <c r="J35" t="s">
        <v>50</v>
      </c>
      <c r="K35" t="s">
        <v>30</v>
      </c>
      <c r="L35">
        <f>(tblSales[[#This Row],[Quantity]]*tblSales[[#This Row],[UnitPrice]])-tblSales[[#This Row],[Discount]]</f>
        <v>8</v>
      </c>
      <c r="M35" s="3" t="str">
        <f>TEXT(tblSales[[#This Row],[SaleDate]],"mmm")</f>
        <v>Feb</v>
      </c>
      <c r="N35">
        <f>HOUR(tblSales[[#This Row],[SaleTime]])</f>
        <v>20</v>
      </c>
      <c r="O35" s="3" t="str">
        <f>TEXT(tblSales[[#This Row],[SaleDate]],"ddd")</f>
        <v>Wed</v>
      </c>
      <c r="P35" t="s">
        <v>105</v>
      </c>
      <c r="Q35" t="s">
        <v>106</v>
      </c>
      <c r="R35" t="s">
        <v>53</v>
      </c>
      <c r="S35">
        <v>8</v>
      </c>
      <c r="T35">
        <f>tblSales[[#This Row],[Quantity]]*tblSales[[#This Row],[CostPrice]]</f>
        <v>8</v>
      </c>
      <c r="U35">
        <f>tblSales[[#This Row],[LineTotal]]-tblSales[[#This Row],[LineCost]]</f>
        <v>0</v>
      </c>
      <c r="V35" s="1">
        <f>IF(tblSales[[#This Row],[LineTotal]]=0,0,tblSales[[#This Row],[GrossProfit]]/tblSales[[#This Row],[LineTotal]])</f>
        <v>0</v>
      </c>
      <c r="W35" s="2">
        <f>WEEKDAY(tblSales[[#This Row],[SaleDate]],2)</f>
        <v>3</v>
      </c>
    </row>
    <row r="36" spans="1:23" x14ac:dyDescent="0.45">
      <c r="A36" t="s">
        <v>168</v>
      </c>
      <c r="B36" t="s">
        <v>163</v>
      </c>
      <c r="C36" t="s">
        <v>164</v>
      </c>
      <c r="D36" t="s">
        <v>165</v>
      </c>
      <c r="E36" t="s">
        <v>166</v>
      </c>
      <c r="F36" t="s">
        <v>97</v>
      </c>
      <c r="G36">
        <v>2</v>
      </c>
      <c r="H36">
        <v>60</v>
      </c>
      <c r="I36">
        <v>10</v>
      </c>
      <c r="J36" t="s">
        <v>50</v>
      </c>
      <c r="K36" t="s">
        <v>30</v>
      </c>
      <c r="L36">
        <f>(tblSales[[#This Row],[Quantity]]*tblSales[[#This Row],[UnitPrice]])-tblSales[[#This Row],[Discount]]</f>
        <v>110</v>
      </c>
      <c r="M36" s="3" t="str">
        <f>TEXT(tblSales[[#This Row],[SaleDate]],"mmm")</f>
        <v>Feb</v>
      </c>
      <c r="N36">
        <f>HOUR(tblSales[[#This Row],[SaleTime]])</f>
        <v>20</v>
      </c>
      <c r="O36" s="3" t="str">
        <f>TEXT(tblSales[[#This Row],[SaleDate]],"ddd")</f>
        <v>Wed</v>
      </c>
      <c r="P36" t="s">
        <v>79</v>
      </c>
      <c r="Q36" t="s">
        <v>98</v>
      </c>
      <c r="R36" t="s">
        <v>53</v>
      </c>
      <c r="S36">
        <v>32</v>
      </c>
      <c r="T36">
        <f>tblSales[[#This Row],[Quantity]]*tblSales[[#This Row],[CostPrice]]</f>
        <v>64</v>
      </c>
      <c r="U36">
        <f>tblSales[[#This Row],[LineTotal]]-tblSales[[#This Row],[LineCost]]</f>
        <v>46</v>
      </c>
      <c r="V36" s="1">
        <f>IF(tblSales[[#This Row],[LineTotal]]=0,0,tblSales[[#This Row],[GrossProfit]]/tblSales[[#This Row],[LineTotal]])</f>
        <v>0.41818181818181815</v>
      </c>
      <c r="W36" s="2">
        <f>WEEKDAY(tblSales[[#This Row],[SaleDate]],2)</f>
        <v>3</v>
      </c>
    </row>
    <row r="37" spans="1:23" x14ac:dyDescent="0.45">
      <c r="A37" t="s">
        <v>169</v>
      </c>
      <c r="B37" t="s">
        <v>170</v>
      </c>
      <c r="C37" t="s">
        <v>171</v>
      </c>
      <c r="D37" t="s">
        <v>172</v>
      </c>
      <c r="F37" t="s">
        <v>28</v>
      </c>
      <c r="G37">
        <v>2</v>
      </c>
      <c r="H37">
        <v>12</v>
      </c>
      <c r="I37">
        <v>0</v>
      </c>
      <c r="J37" t="s">
        <v>29</v>
      </c>
      <c r="K37" t="s">
        <v>30</v>
      </c>
      <c r="L37">
        <f>(tblSales[[#This Row],[Quantity]]*tblSales[[#This Row],[UnitPrice]])-tblSales[[#This Row],[Discount]]</f>
        <v>24</v>
      </c>
      <c r="M37" s="3" t="str">
        <f>TEXT(tblSales[[#This Row],[SaleDate]],"mmm")</f>
        <v>Feb</v>
      </c>
      <c r="N37">
        <f>HOUR(tblSales[[#This Row],[SaleTime]])</f>
        <v>21</v>
      </c>
      <c r="O37" s="3" t="str">
        <f>TEXT(tblSales[[#This Row],[SaleDate]],"ddd")</f>
        <v>Thu</v>
      </c>
      <c r="P37" t="s">
        <v>31</v>
      </c>
      <c r="Q37" t="s">
        <v>32</v>
      </c>
      <c r="R37" t="s">
        <v>33</v>
      </c>
      <c r="S37">
        <v>3</v>
      </c>
      <c r="T37">
        <f>tblSales[[#This Row],[Quantity]]*tblSales[[#This Row],[CostPrice]]</f>
        <v>6</v>
      </c>
      <c r="U37">
        <f>tblSales[[#This Row],[LineTotal]]-tblSales[[#This Row],[LineCost]]</f>
        <v>18</v>
      </c>
      <c r="V37" s="1">
        <f>IF(tblSales[[#This Row],[LineTotal]]=0,0,tblSales[[#This Row],[GrossProfit]]/tblSales[[#This Row],[LineTotal]])</f>
        <v>0.75</v>
      </c>
      <c r="W37" s="2">
        <f>WEEKDAY(tblSales[[#This Row],[SaleDate]],2)</f>
        <v>4</v>
      </c>
    </row>
    <row r="38" spans="1:23" x14ac:dyDescent="0.45">
      <c r="A38" t="s">
        <v>173</v>
      </c>
      <c r="B38" t="s">
        <v>170</v>
      </c>
      <c r="C38" t="s">
        <v>171</v>
      </c>
      <c r="D38" t="s">
        <v>172</v>
      </c>
      <c r="F38" t="s">
        <v>97</v>
      </c>
      <c r="G38">
        <v>1</v>
      </c>
      <c r="H38">
        <v>60</v>
      </c>
      <c r="I38">
        <v>0</v>
      </c>
      <c r="J38" t="s">
        <v>29</v>
      </c>
      <c r="K38" t="s">
        <v>30</v>
      </c>
      <c r="L38">
        <f>(tblSales[[#This Row],[Quantity]]*tblSales[[#This Row],[UnitPrice]])-tblSales[[#This Row],[Discount]]</f>
        <v>60</v>
      </c>
      <c r="M38" s="3" t="str">
        <f>TEXT(tblSales[[#This Row],[SaleDate]],"mmm")</f>
        <v>Feb</v>
      </c>
      <c r="N38">
        <f>HOUR(tblSales[[#This Row],[SaleTime]])</f>
        <v>21</v>
      </c>
      <c r="O38" s="3" t="str">
        <f>TEXT(tblSales[[#This Row],[SaleDate]],"ddd")</f>
        <v>Thu</v>
      </c>
      <c r="P38" t="s">
        <v>79</v>
      </c>
      <c r="Q38" t="s">
        <v>98</v>
      </c>
      <c r="R38" t="s">
        <v>33</v>
      </c>
      <c r="S38">
        <v>32</v>
      </c>
      <c r="T38">
        <f>tblSales[[#This Row],[Quantity]]*tblSales[[#This Row],[CostPrice]]</f>
        <v>32</v>
      </c>
      <c r="U38">
        <f>tblSales[[#This Row],[LineTotal]]-tblSales[[#This Row],[LineCost]]</f>
        <v>28</v>
      </c>
      <c r="V38" s="1">
        <f>IF(tblSales[[#This Row],[LineTotal]]=0,0,tblSales[[#This Row],[GrossProfit]]/tblSales[[#This Row],[LineTotal]])</f>
        <v>0.46666666666666667</v>
      </c>
      <c r="W38" s="2">
        <f>WEEKDAY(tblSales[[#This Row],[SaleDate]],2)</f>
        <v>4</v>
      </c>
    </row>
    <row r="39" spans="1:23" x14ac:dyDescent="0.45">
      <c r="A39" t="s">
        <v>174</v>
      </c>
      <c r="B39" t="s">
        <v>175</v>
      </c>
      <c r="C39" t="s">
        <v>176</v>
      </c>
      <c r="D39" t="s">
        <v>177</v>
      </c>
      <c r="F39" t="s">
        <v>123</v>
      </c>
      <c r="G39">
        <v>1</v>
      </c>
      <c r="H39">
        <v>28</v>
      </c>
      <c r="I39">
        <v>0</v>
      </c>
      <c r="J39" t="s">
        <v>29</v>
      </c>
      <c r="K39" t="s">
        <v>30</v>
      </c>
      <c r="L39">
        <f>(tblSales[[#This Row],[Quantity]]*tblSales[[#This Row],[UnitPrice]])-tblSales[[#This Row],[Discount]]</f>
        <v>28</v>
      </c>
      <c r="M39" s="3" t="str">
        <f>TEXT(tblSales[[#This Row],[SaleDate]],"mmm")</f>
        <v>Feb</v>
      </c>
      <c r="N39">
        <f>HOUR(tblSales[[#This Row],[SaleTime]])</f>
        <v>11</v>
      </c>
      <c r="O39" s="3" t="str">
        <f>TEXT(tblSales[[#This Row],[SaleDate]],"ddd")</f>
        <v>Sat</v>
      </c>
      <c r="P39" t="s">
        <v>124</v>
      </c>
      <c r="Q39" t="s">
        <v>125</v>
      </c>
      <c r="R39" t="s">
        <v>33</v>
      </c>
      <c r="S39">
        <v>12</v>
      </c>
      <c r="T39">
        <f>tblSales[[#This Row],[Quantity]]*tblSales[[#This Row],[CostPrice]]</f>
        <v>12</v>
      </c>
      <c r="U39">
        <f>tblSales[[#This Row],[LineTotal]]-tblSales[[#This Row],[LineCost]]</f>
        <v>16</v>
      </c>
      <c r="V39" s="1">
        <f>IF(tblSales[[#This Row],[LineTotal]]=0,0,tblSales[[#This Row],[GrossProfit]]/tblSales[[#This Row],[LineTotal]])</f>
        <v>0.5714285714285714</v>
      </c>
      <c r="W39" s="2">
        <f>WEEKDAY(tblSales[[#This Row],[SaleDate]],2)</f>
        <v>6</v>
      </c>
    </row>
    <row r="40" spans="1:23" x14ac:dyDescent="0.45">
      <c r="A40" t="s">
        <v>178</v>
      </c>
      <c r="B40" t="s">
        <v>179</v>
      </c>
      <c r="C40" t="s">
        <v>180</v>
      </c>
      <c r="D40" t="s">
        <v>181</v>
      </c>
      <c r="E40" t="s">
        <v>148</v>
      </c>
      <c r="F40" t="s">
        <v>182</v>
      </c>
      <c r="G40">
        <v>2</v>
      </c>
      <c r="H40">
        <v>15</v>
      </c>
      <c r="I40">
        <v>0</v>
      </c>
      <c r="J40" t="s">
        <v>60</v>
      </c>
      <c r="K40" t="s">
        <v>30</v>
      </c>
      <c r="L40">
        <f>(tblSales[[#This Row],[Quantity]]*tblSales[[#This Row],[UnitPrice]])-tblSales[[#This Row],[Discount]]</f>
        <v>30</v>
      </c>
      <c r="M40" s="3" t="str">
        <f>TEXT(tblSales[[#This Row],[SaleDate]],"mmm")</f>
        <v>Feb</v>
      </c>
      <c r="N40">
        <f>HOUR(tblSales[[#This Row],[SaleTime]])</f>
        <v>14</v>
      </c>
      <c r="O40" s="3" t="str">
        <f>TEXT(tblSales[[#This Row],[SaleDate]],"ddd")</f>
        <v>Tue</v>
      </c>
      <c r="P40" t="s">
        <v>105</v>
      </c>
      <c r="Q40" t="s">
        <v>183</v>
      </c>
      <c r="R40" t="s">
        <v>63</v>
      </c>
      <c r="S40">
        <v>6</v>
      </c>
      <c r="T40">
        <f>tblSales[[#This Row],[Quantity]]*tblSales[[#This Row],[CostPrice]]</f>
        <v>12</v>
      </c>
      <c r="U40">
        <f>tblSales[[#This Row],[LineTotal]]-tblSales[[#This Row],[LineCost]]</f>
        <v>18</v>
      </c>
      <c r="V40" s="1">
        <f>IF(tblSales[[#This Row],[LineTotal]]=0,0,tblSales[[#This Row],[GrossProfit]]/tblSales[[#This Row],[LineTotal]])</f>
        <v>0.6</v>
      </c>
      <c r="W40" s="2">
        <f>WEEKDAY(tblSales[[#This Row],[SaleDate]],2)</f>
        <v>2</v>
      </c>
    </row>
    <row r="41" spans="1:23" x14ac:dyDescent="0.45">
      <c r="A41" t="s">
        <v>184</v>
      </c>
      <c r="B41" t="s">
        <v>179</v>
      </c>
      <c r="C41" t="s">
        <v>180</v>
      </c>
      <c r="D41" t="s">
        <v>181</v>
      </c>
      <c r="E41" t="s">
        <v>148</v>
      </c>
      <c r="F41" t="s">
        <v>123</v>
      </c>
      <c r="G41">
        <v>2</v>
      </c>
      <c r="H41">
        <v>28</v>
      </c>
      <c r="I41">
        <v>0</v>
      </c>
      <c r="J41" t="s">
        <v>60</v>
      </c>
      <c r="K41" t="s">
        <v>30</v>
      </c>
      <c r="L41">
        <f>(tblSales[[#This Row],[Quantity]]*tblSales[[#This Row],[UnitPrice]])-tblSales[[#This Row],[Discount]]</f>
        <v>56</v>
      </c>
      <c r="M41" s="3" t="str">
        <f>TEXT(tblSales[[#This Row],[SaleDate]],"mmm")</f>
        <v>Feb</v>
      </c>
      <c r="N41">
        <f>HOUR(tblSales[[#This Row],[SaleTime]])</f>
        <v>14</v>
      </c>
      <c r="O41" s="3" t="str">
        <f>TEXT(tblSales[[#This Row],[SaleDate]],"ddd")</f>
        <v>Tue</v>
      </c>
      <c r="P41" t="s">
        <v>124</v>
      </c>
      <c r="Q41" t="s">
        <v>125</v>
      </c>
      <c r="R41" t="s">
        <v>63</v>
      </c>
      <c r="S41">
        <v>12</v>
      </c>
      <c r="T41">
        <f>tblSales[[#This Row],[Quantity]]*tblSales[[#This Row],[CostPrice]]</f>
        <v>24</v>
      </c>
      <c r="U41">
        <f>tblSales[[#This Row],[LineTotal]]-tblSales[[#This Row],[LineCost]]</f>
        <v>32</v>
      </c>
      <c r="V41" s="1">
        <f>IF(tblSales[[#This Row],[LineTotal]]=0,0,tblSales[[#This Row],[GrossProfit]]/tblSales[[#This Row],[LineTotal]])</f>
        <v>0.5714285714285714</v>
      </c>
      <c r="W41" s="2">
        <f>WEEKDAY(tblSales[[#This Row],[SaleDate]],2)</f>
        <v>2</v>
      </c>
    </row>
    <row r="42" spans="1:23" x14ac:dyDescent="0.45">
      <c r="A42" t="s">
        <v>185</v>
      </c>
      <c r="B42" t="s">
        <v>186</v>
      </c>
      <c r="C42" t="s">
        <v>187</v>
      </c>
      <c r="D42" t="s">
        <v>188</v>
      </c>
      <c r="E42" t="s">
        <v>189</v>
      </c>
      <c r="F42" t="s">
        <v>140</v>
      </c>
      <c r="G42">
        <v>2</v>
      </c>
      <c r="H42">
        <v>22</v>
      </c>
      <c r="I42">
        <v>0</v>
      </c>
      <c r="J42" t="s">
        <v>50</v>
      </c>
      <c r="K42" t="s">
        <v>30</v>
      </c>
      <c r="L42">
        <f>(tblSales[[#This Row],[Quantity]]*tblSales[[#This Row],[UnitPrice]])-tblSales[[#This Row],[Discount]]</f>
        <v>44</v>
      </c>
      <c r="M42" s="3" t="str">
        <f>TEXT(tblSales[[#This Row],[SaleDate]],"mmm")</f>
        <v>Feb</v>
      </c>
      <c r="N42">
        <f>HOUR(tblSales[[#This Row],[SaleTime]])</f>
        <v>19</v>
      </c>
      <c r="O42" s="3" t="str">
        <f>TEXT(tblSales[[#This Row],[SaleDate]],"ddd")</f>
        <v>Thu</v>
      </c>
      <c r="P42" t="s">
        <v>124</v>
      </c>
      <c r="Q42" t="s">
        <v>141</v>
      </c>
      <c r="R42" t="s">
        <v>53</v>
      </c>
      <c r="S42">
        <v>10</v>
      </c>
      <c r="T42">
        <f>tblSales[[#This Row],[Quantity]]*tblSales[[#This Row],[CostPrice]]</f>
        <v>20</v>
      </c>
      <c r="U42">
        <f>tblSales[[#This Row],[LineTotal]]-tblSales[[#This Row],[LineCost]]</f>
        <v>24</v>
      </c>
      <c r="V42" s="1">
        <f>IF(tblSales[[#This Row],[LineTotal]]=0,0,tblSales[[#This Row],[GrossProfit]]/tblSales[[#This Row],[LineTotal]])</f>
        <v>0.54545454545454541</v>
      </c>
      <c r="W42" s="2">
        <f>WEEKDAY(tblSales[[#This Row],[SaleDate]],2)</f>
        <v>4</v>
      </c>
    </row>
    <row r="43" spans="1:23" x14ac:dyDescent="0.45">
      <c r="A43" t="s">
        <v>190</v>
      </c>
      <c r="B43" t="s">
        <v>191</v>
      </c>
      <c r="C43" t="s">
        <v>192</v>
      </c>
      <c r="D43" t="s">
        <v>193</v>
      </c>
      <c r="F43" t="s">
        <v>140</v>
      </c>
      <c r="G43">
        <v>2</v>
      </c>
      <c r="H43">
        <v>22</v>
      </c>
      <c r="I43">
        <v>0</v>
      </c>
      <c r="J43" t="s">
        <v>60</v>
      </c>
      <c r="K43" t="s">
        <v>30</v>
      </c>
      <c r="L43">
        <f>(tblSales[[#This Row],[Quantity]]*tblSales[[#This Row],[UnitPrice]])-tblSales[[#This Row],[Discount]]</f>
        <v>44</v>
      </c>
      <c r="M43" s="3" t="str">
        <f>TEXT(tblSales[[#This Row],[SaleDate]],"mmm")</f>
        <v>Feb</v>
      </c>
      <c r="N43">
        <f>HOUR(tblSales[[#This Row],[SaleTime]])</f>
        <v>13</v>
      </c>
      <c r="O43" s="3" t="str">
        <f>TEXT(tblSales[[#This Row],[SaleDate]],"ddd")</f>
        <v>Fri</v>
      </c>
      <c r="P43" t="s">
        <v>124</v>
      </c>
      <c r="Q43" t="s">
        <v>141</v>
      </c>
      <c r="R43" t="s">
        <v>63</v>
      </c>
      <c r="S43">
        <v>10</v>
      </c>
      <c r="T43">
        <f>tblSales[[#This Row],[Quantity]]*tblSales[[#This Row],[CostPrice]]</f>
        <v>20</v>
      </c>
      <c r="U43">
        <f>tblSales[[#This Row],[LineTotal]]-tblSales[[#This Row],[LineCost]]</f>
        <v>24</v>
      </c>
      <c r="V43" s="1">
        <f>IF(tblSales[[#This Row],[LineTotal]]=0,0,tblSales[[#This Row],[GrossProfit]]/tblSales[[#This Row],[LineTotal]])</f>
        <v>0.54545454545454541</v>
      </c>
      <c r="W43" s="2">
        <f>WEEKDAY(tblSales[[#This Row],[SaleDate]],2)</f>
        <v>5</v>
      </c>
    </row>
    <row r="44" spans="1:23" x14ac:dyDescent="0.45">
      <c r="A44" t="s">
        <v>194</v>
      </c>
      <c r="B44" t="s">
        <v>195</v>
      </c>
      <c r="C44" t="s">
        <v>192</v>
      </c>
      <c r="D44" t="s">
        <v>196</v>
      </c>
      <c r="F44" t="s">
        <v>197</v>
      </c>
      <c r="G44">
        <v>1</v>
      </c>
      <c r="H44">
        <v>28</v>
      </c>
      <c r="I44">
        <v>5</v>
      </c>
      <c r="J44" t="s">
        <v>50</v>
      </c>
      <c r="K44" t="s">
        <v>30</v>
      </c>
      <c r="L44">
        <f>(tblSales[[#This Row],[Quantity]]*tblSales[[#This Row],[UnitPrice]])-tblSales[[#This Row],[Discount]]</f>
        <v>23</v>
      </c>
      <c r="M44" s="3" t="str">
        <f>TEXT(tblSales[[#This Row],[SaleDate]],"mmm")</f>
        <v>Feb</v>
      </c>
      <c r="N44">
        <f>HOUR(tblSales[[#This Row],[SaleTime]])</f>
        <v>20</v>
      </c>
      <c r="O44" s="3" t="str">
        <f>TEXT(tblSales[[#This Row],[SaleDate]],"ddd")</f>
        <v>Fri</v>
      </c>
      <c r="P44" t="s">
        <v>105</v>
      </c>
      <c r="Q44" t="s">
        <v>198</v>
      </c>
      <c r="R44" t="s">
        <v>53</v>
      </c>
      <c r="S44">
        <v>12</v>
      </c>
      <c r="T44">
        <f>tblSales[[#This Row],[Quantity]]*tblSales[[#This Row],[CostPrice]]</f>
        <v>12</v>
      </c>
      <c r="U44">
        <f>tblSales[[#This Row],[LineTotal]]-tblSales[[#This Row],[LineCost]]</f>
        <v>11</v>
      </c>
      <c r="V44" s="1">
        <f>IF(tblSales[[#This Row],[LineTotal]]=0,0,tblSales[[#This Row],[GrossProfit]]/tblSales[[#This Row],[LineTotal]])</f>
        <v>0.47826086956521741</v>
      </c>
      <c r="W44" s="2">
        <f>WEEKDAY(tblSales[[#This Row],[SaleDate]],2)</f>
        <v>5</v>
      </c>
    </row>
    <row r="45" spans="1:23" x14ac:dyDescent="0.45">
      <c r="A45" t="s">
        <v>199</v>
      </c>
      <c r="B45" t="s">
        <v>195</v>
      </c>
      <c r="C45" t="s">
        <v>192</v>
      </c>
      <c r="D45" t="s">
        <v>196</v>
      </c>
      <c r="F45" t="s">
        <v>108</v>
      </c>
      <c r="G45">
        <v>2</v>
      </c>
      <c r="H45">
        <v>8</v>
      </c>
      <c r="I45">
        <v>5</v>
      </c>
      <c r="J45" t="s">
        <v>50</v>
      </c>
      <c r="K45" t="s">
        <v>30</v>
      </c>
      <c r="L45">
        <f>(tblSales[[#This Row],[Quantity]]*tblSales[[#This Row],[UnitPrice]])-tblSales[[#This Row],[Discount]]</f>
        <v>11</v>
      </c>
      <c r="M45" s="3" t="str">
        <f>TEXT(tblSales[[#This Row],[SaleDate]],"mmm")</f>
        <v>Feb</v>
      </c>
      <c r="N45">
        <f>HOUR(tblSales[[#This Row],[SaleTime]])</f>
        <v>20</v>
      </c>
      <c r="O45" s="3" t="str">
        <f>TEXT(tblSales[[#This Row],[SaleDate]],"ddd")</f>
        <v>Fri</v>
      </c>
      <c r="P45" t="s">
        <v>31</v>
      </c>
      <c r="Q45" t="s">
        <v>109</v>
      </c>
      <c r="R45" t="s">
        <v>53</v>
      </c>
      <c r="S45">
        <v>2</v>
      </c>
      <c r="T45">
        <f>tblSales[[#This Row],[Quantity]]*tblSales[[#This Row],[CostPrice]]</f>
        <v>4</v>
      </c>
      <c r="U45">
        <f>tblSales[[#This Row],[LineTotal]]-tblSales[[#This Row],[LineCost]]</f>
        <v>7</v>
      </c>
      <c r="V45" s="1">
        <f>IF(tblSales[[#This Row],[LineTotal]]=0,0,tblSales[[#This Row],[GrossProfit]]/tblSales[[#This Row],[LineTotal]])</f>
        <v>0.63636363636363635</v>
      </c>
      <c r="W45" s="2">
        <f>WEEKDAY(tblSales[[#This Row],[SaleDate]],2)</f>
        <v>5</v>
      </c>
    </row>
    <row r="46" spans="1:23" x14ac:dyDescent="0.45">
      <c r="A46" t="s">
        <v>200</v>
      </c>
      <c r="B46" t="s">
        <v>201</v>
      </c>
      <c r="C46" t="s">
        <v>202</v>
      </c>
      <c r="D46" t="s">
        <v>203</v>
      </c>
      <c r="E46" t="s">
        <v>58</v>
      </c>
      <c r="F46" t="s">
        <v>78</v>
      </c>
      <c r="G46">
        <v>1</v>
      </c>
      <c r="H46">
        <v>72</v>
      </c>
      <c r="I46">
        <v>0</v>
      </c>
      <c r="J46" t="s">
        <v>50</v>
      </c>
      <c r="K46" t="s">
        <v>30</v>
      </c>
      <c r="L46">
        <f>(tblSales[[#This Row],[Quantity]]*tblSales[[#This Row],[UnitPrice]])-tblSales[[#This Row],[Discount]]</f>
        <v>72</v>
      </c>
      <c r="M46" s="3" t="str">
        <f>TEXT(tblSales[[#This Row],[SaleDate]],"mmm")</f>
        <v>Feb</v>
      </c>
      <c r="N46">
        <f>HOUR(tblSales[[#This Row],[SaleTime]])</f>
        <v>19</v>
      </c>
      <c r="O46" s="3" t="str">
        <f>TEXT(tblSales[[#This Row],[SaleDate]],"ddd")</f>
        <v>Sat</v>
      </c>
      <c r="P46" t="s">
        <v>79</v>
      </c>
      <c r="Q46" t="s">
        <v>80</v>
      </c>
      <c r="R46" t="s">
        <v>53</v>
      </c>
      <c r="S46">
        <v>38</v>
      </c>
      <c r="T46">
        <f>tblSales[[#This Row],[Quantity]]*tblSales[[#This Row],[CostPrice]]</f>
        <v>38</v>
      </c>
      <c r="U46">
        <f>tblSales[[#This Row],[LineTotal]]-tblSales[[#This Row],[LineCost]]</f>
        <v>34</v>
      </c>
      <c r="V46" s="1">
        <f>IF(tblSales[[#This Row],[LineTotal]]=0,0,tblSales[[#This Row],[GrossProfit]]/tblSales[[#This Row],[LineTotal]])</f>
        <v>0.47222222222222221</v>
      </c>
      <c r="W46" s="2">
        <f>WEEKDAY(tblSales[[#This Row],[SaleDate]],2)</f>
        <v>6</v>
      </c>
    </row>
    <row r="47" spans="1:23" x14ac:dyDescent="0.45">
      <c r="A47" t="s">
        <v>204</v>
      </c>
      <c r="B47" t="s">
        <v>205</v>
      </c>
      <c r="C47" t="s">
        <v>202</v>
      </c>
      <c r="D47" t="s">
        <v>206</v>
      </c>
      <c r="E47" t="s">
        <v>207</v>
      </c>
      <c r="F47" t="s">
        <v>104</v>
      </c>
      <c r="G47">
        <v>2</v>
      </c>
      <c r="H47">
        <v>18</v>
      </c>
      <c r="I47">
        <v>0</v>
      </c>
      <c r="J47" t="s">
        <v>50</v>
      </c>
      <c r="K47" t="s">
        <v>30</v>
      </c>
      <c r="L47">
        <f>(tblSales[[#This Row],[Quantity]]*tblSales[[#This Row],[UnitPrice]])-tblSales[[#This Row],[Discount]]</f>
        <v>36</v>
      </c>
      <c r="M47" s="3" t="str">
        <f>TEXT(tblSales[[#This Row],[SaleDate]],"mmm")</f>
        <v>Feb</v>
      </c>
      <c r="N47">
        <f>HOUR(tblSales[[#This Row],[SaleTime]])</f>
        <v>20</v>
      </c>
      <c r="O47" s="3" t="str">
        <f>TEXT(tblSales[[#This Row],[SaleDate]],"ddd")</f>
        <v>Sat</v>
      </c>
      <c r="P47" t="s">
        <v>105</v>
      </c>
      <c r="Q47" t="s">
        <v>106</v>
      </c>
      <c r="R47" t="s">
        <v>53</v>
      </c>
      <c r="S47">
        <v>8</v>
      </c>
      <c r="T47">
        <f>tblSales[[#This Row],[Quantity]]*tblSales[[#This Row],[CostPrice]]</f>
        <v>16</v>
      </c>
      <c r="U47">
        <f>tblSales[[#This Row],[LineTotal]]-tblSales[[#This Row],[LineCost]]</f>
        <v>20</v>
      </c>
      <c r="V47" s="1">
        <f>IF(tblSales[[#This Row],[LineTotal]]=0,0,tblSales[[#This Row],[GrossProfit]]/tblSales[[#This Row],[LineTotal]])</f>
        <v>0.55555555555555558</v>
      </c>
      <c r="W47" s="2">
        <f>WEEKDAY(tblSales[[#This Row],[SaleDate]],2)</f>
        <v>6</v>
      </c>
    </row>
    <row r="48" spans="1:23" x14ac:dyDescent="0.45">
      <c r="A48" t="s">
        <v>208</v>
      </c>
      <c r="B48" t="s">
        <v>205</v>
      </c>
      <c r="C48" t="s">
        <v>202</v>
      </c>
      <c r="D48" t="s">
        <v>206</v>
      </c>
      <c r="E48" t="s">
        <v>207</v>
      </c>
      <c r="F48" t="s">
        <v>70</v>
      </c>
      <c r="G48">
        <v>1</v>
      </c>
      <c r="H48">
        <v>12</v>
      </c>
      <c r="I48">
        <v>0</v>
      </c>
      <c r="J48" t="s">
        <v>50</v>
      </c>
      <c r="K48" t="s">
        <v>30</v>
      </c>
      <c r="L48">
        <f>(tblSales[[#This Row],[Quantity]]*tblSales[[#This Row],[UnitPrice]])-tblSales[[#This Row],[Discount]]</f>
        <v>12</v>
      </c>
      <c r="M48" s="3" t="str">
        <f>TEXT(tblSales[[#This Row],[SaleDate]],"mmm")</f>
        <v>Feb</v>
      </c>
      <c r="N48">
        <f>HOUR(tblSales[[#This Row],[SaleTime]])</f>
        <v>20</v>
      </c>
      <c r="O48" s="3" t="str">
        <f>TEXT(tblSales[[#This Row],[SaleDate]],"ddd")</f>
        <v>Sat</v>
      </c>
      <c r="P48" t="s">
        <v>31</v>
      </c>
      <c r="Q48" t="s">
        <v>71</v>
      </c>
      <c r="R48" t="s">
        <v>53</v>
      </c>
      <c r="S48">
        <v>5</v>
      </c>
      <c r="T48">
        <f>tblSales[[#This Row],[Quantity]]*tblSales[[#This Row],[CostPrice]]</f>
        <v>5</v>
      </c>
      <c r="U48">
        <f>tblSales[[#This Row],[LineTotal]]-tblSales[[#This Row],[LineCost]]</f>
        <v>7</v>
      </c>
      <c r="V48" s="1">
        <f>IF(tblSales[[#This Row],[LineTotal]]=0,0,tblSales[[#This Row],[GrossProfit]]/tblSales[[#This Row],[LineTotal]])</f>
        <v>0.58333333333333337</v>
      </c>
      <c r="W48" s="2">
        <f>WEEKDAY(tblSales[[#This Row],[SaleDate]],2)</f>
        <v>6</v>
      </c>
    </row>
    <row r="49" spans="1:23" x14ac:dyDescent="0.45">
      <c r="A49" t="s">
        <v>209</v>
      </c>
      <c r="B49" t="s">
        <v>210</v>
      </c>
      <c r="C49" t="s">
        <v>211</v>
      </c>
      <c r="D49" t="s">
        <v>212</v>
      </c>
      <c r="E49" t="s">
        <v>213</v>
      </c>
      <c r="F49" t="s">
        <v>42</v>
      </c>
      <c r="G49">
        <v>2</v>
      </c>
      <c r="H49">
        <v>12</v>
      </c>
      <c r="I49">
        <v>0</v>
      </c>
      <c r="J49" t="s">
        <v>60</v>
      </c>
      <c r="K49" t="s">
        <v>86</v>
      </c>
      <c r="L49">
        <f>(tblSales[[#This Row],[Quantity]]*tblSales[[#This Row],[UnitPrice]])-tblSales[[#This Row],[Discount]]</f>
        <v>24</v>
      </c>
      <c r="M49" s="3" t="str">
        <f>TEXT(tblSales[[#This Row],[SaleDate]],"mmm")</f>
        <v>Mar</v>
      </c>
      <c r="N49">
        <f>HOUR(tblSales[[#This Row],[SaleTime]])</f>
        <v>13</v>
      </c>
      <c r="O49" s="3" t="str">
        <f>TEXT(tblSales[[#This Row],[SaleDate]],"ddd")</f>
        <v>Sun</v>
      </c>
      <c r="P49" t="s">
        <v>31</v>
      </c>
      <c r="Q49" t="s">
        <v>43</v>
      </c>
      <c r="R49" t="s">
        <v>63</v>
      </c>
      <c r="S49">
        <v>5</v>
      </c>
      <c r="T49">
        <f>tblSales[[#This Row],[Quantity]]*tblSales[[#This Row],[CostPrice]]</f>
        <v>10</v>
      </c>
      <c r="U49">
        <f>tblSales[[#This Row],[LineTotal]]-tblSales[[#This Row],[LineCost]]</f>
        <v>14</v>
      </c>
      <c r="V49" s="1">
        <f>IF(tblSales[[#This Row],[LineTotal]]=0,0,tblSales[[#This Row],[GrossProfit]]/tblSales[[#This Row],[LineTotal]])</f>
        <v>0.58333333333333337</v>
      </c>
      <c r="W49" s="2">
        <f>WEEKDAY(tblSales[[#This Row],[SaleDate]],2)</f>
        <v>7</v>
      </c>
    </row>
    <row r="50" spans="1:23" x14ac:dyDescent="0.45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140</v>
      </c>
      <c r="G50">
        <v>1</v>
      </c>
      <c r="H50">
        <v>22</v>
      </c>
      <c r="I50">
        <v>0</v>
      </c>
      <c r="J50" t="s">
        <v>60</v>
      </c>
      <c r="K50" t="s">
        <v>86</v>
      </c>
      <c r="L50">
        <f>(tblSales[[#This Row],[Quantity]]*tblSales[[#This Row],[UnitPrice]])-tblSales[[#This Row],[Discount]]</f>
        <v>22</v>
      </c>
      <c r="M50" s="3" t="str">
        <f>TEXT(tblSales[[#This Row],[SaleDate]],"mmm")</f>
        <v>Mar</v>
      </c>
      <c r="N50">
        <f>HOUR(tblSales[[#This Row],[SaleTime]])</f>
        <v>22</v>
      </c>
      <c r="O50" s="3" t="str">
        <f>TEXT(tblSales[[#This Row],[SaleDate]],"ddd")</f>
        <v>Tue</v>
      </c>
      <c r="P50" t="s">
        <v>124</v>
      </c>
      <c r="Q50" t="s">
        <v>141</v>
      </c>
      <c r="R50" t="s">
        <v>63</v>
      </c>
      <c r="S50">
        <v>10</v>
      </c>
      <c r="T50">
        <f>tblSales[[#This Row],[Quantity]]*tblSales[[#This Row],[CostPrice]]</f>
        <v>10</v>
      </c>
      <c r="U50">
        <f>tblSales[[#This Row],[LineTotal]]-tblSales[[#This Row],[LineCost]]</f>
        <v>12</v>
      </c>
      <c r="V50" s="1">
        <f>IF(tblSales[[#This Row],[LineTotal]]=0,0,tblSales[[#This Row],[GrossProfit]]/tblSales[[#This Row],[LineTotal]])</f>
        <v>0.54545454545454541</v>
      </c>
      <c r="W50" s="2">
        <f>WEEKDAY(tblSales[[#This Row],[SaleDate]],2)</f>
        <v>2</v>
      </c>
    </row>
    <row r="51" spans="1:23" x14ac:dyDescent="0.45">
      <c r="A51" t="s">
        <v>219</v>
      </c>
      <c r="B51" t="s">
        <v>215</v>
      </c>
      <c r="C51" t="s">
        <v>216</v>
      </c>
      <c r="D51" t="s">
        <v>217</v>
      </c>
      <c r="E51" t="s">
        <v>218</v>
      </c>
      <c r="F51" t="s">
        <v>111</v>
      </c>
      <c r="G51">
        <v>2</v>
      </c>
      <c r="H51">
        <v>12</v>
      </c>
      <c r="I51">
        <v>0</v>
      </c>
      <c r="J51" t="s">
        <v>60</v>
      </c>
      <c r="K51" t="s">
        <v>86</v>
      </c>
      <c r="L51">
        <f>(tblSales[[#This Row],[Quantity]]*tblSales[[#This Row],[UnitPrice]])-tblSales[[#This Row],[Discount]]</f>
        <v>24</v>
      </c>
      <c r="M51" s="3" t="str">
        <f>TEXT(tblSales[[#This Row],[SaleDate]],"mmm")</f>
        <v>Mar</v>
      </c>
      <c r="N51">
        <f>HOUR(tblSales[[#This Row],[SaleTime]])</f>
        <v>22</v>
      </c>
      <c r="O51" s="3" t="str">
        <f>TEXT(tblSales[[#This Row],[SaleDate]],"ddd")</f>
        <v>Tue</v>
      </c>
      <c r="P51" t="s">
        <v>31</v>
      </c>
      <c r="Q51" t="s">
        <v>112</v>
      </c>
      <c r="R51" t="s">
        <v>63</v>
      </c>
      <c r="S51">
        <v>5</v>
      </c>
      <c r="T51">
        <f>tblSales[[#This Row],[Quantity]]*tblSales[[#This Row],[CostPrice]]</f>
        <v>10</v>
      </c>
      <c r="U51">
        <f>tblSales[[#This Row],[LineTotal]]-tblSales[[#This Row],[LineCost]]</f>
        <v>14</v>
      </c>
      <c r="V51" s="1">
        <f>IF(tblSales[[#This Row],[LineTotal]]=0,0,tblSales[[#This Row],[GrossProfit]]/tblSales[[#This Row],[LineTotal]])</f>
        <v>0.58333333333333337</v>
      </c>
      <c r="W51" s="2">
        <f>WEEKDAY(tblSales[[#This Row],[SaleDate]],2)</f>
        <v>2</v>
      </c>
    </row>
    <row r="52" spans="1:23" x14ac:dyDescent="0.45">
      <c r="A52" t="s">
        <v>220</v>
      </c>
      <c r="B52" t="s">
        <v>221</v>
      </c>
      <c r="C52" t="s">
        <v>222</v>
      </c>
      <c r="D52" t="s">
        <v>223</v>
      </c>
      <c r="E52" t="s">
        <v>77</v>
      </c>
      <c r="F52" t="s">
        <v>197</v>
      </c>
      <c r="G52">
        <v>1</v>
      </c>
      <c r="H52">
        <v>28</v>
      </c>
      <c r="I52">
        <v>0</v>
      </c>
      <c r="J52" t="s">
        <v>29</v>
      </c>
      <c r="K52" t="s">
        <v>157</v>
      </c>
      <c r="L52">
        <f>(tblSales[[#This Row],[Quantity]]*tblSales[[#This Row],[UnitPrice]])-tblSales[[#This Row],[Discount]]</f>
        <v>28</v>
      </c>
      <c r="M52" s="3" t="str">
        <f>TEXT(tblSales[[#This Row],[SaleDate]],"mmm")</f>
        <v>Mar</v>
      </c>
      <c r="N52">
        <f>HOUR(tblSales[[#This Row],[SaleTime]])</f>
        <v>20</v>
      </c>
      <c r="O52" s="3" t="str">
        <f>TEXT(tblSales[[#This Row],[SaleDate]],"ddd")</f>
        <v>Thu</v>
      </c>
      <c r="P52" t="s">
        <v>105</v>
      </c>
      <c r="Q52" t="s">
        <v>198</v>
      </c>
      <c r="R52" t="s">
        <v>33</v>
      </c>
      <c r="S52">
        <v>12</v>
      </c>
      <c r="T52">
        <f>tblSales[[#This Row],[Quantity]]*tblSales[[#This Row],[CostPrice]]</f>
        <v>12</v>
      </c>
      <c r="U52">
        <f>tblSales[[#This Row],[LineTotal]]-tblSales[[#This Row],[LineCost]]</f>
        <v>16</v>
      </c>
      <c r="V52" s="1">
        <f>IF(tblSales[[#This Row],[LineTotal]]=0,0,tblSales[[#This Row],[GrossProfit]]/tblSales[[#This Row],[LineTotal]])</f>
        <v>0.5714285714285714</v>
      </c>
      <c r="W52" s="2">
        <f>WEEKDAY(tblSales[[#This Row],[SaleDate]],2)</f>
        <v>4</v>
      </c>
    </row>
    <row r="53" spans="1:23" x14ac:dyDescent="0.45">
      <c r="A53" t="s">
        <v>224</v>
      </c>
      <c r="B53" t="s">
        <v>221</v>
      </c>
      <c r="C53" t="s">
        <v>222</v>
      </c>
      <c r="D53" t="s">
        <v>223</v>
      </c>
      <c r="E53" t="s">
        <v>77</v>
      </c>
      <c r="F53" t="s">
        <v>28</v>
      </c>
      <c r="G53">
        <v>1</v>
      </c>
      <c r="H53">
        <v>12</v>
      </c>
      <c r="I53">
        <v>0</v>
      </c>
      <c r="J53" t="s">
        <v>29</v>
      </c>
      <c r="K53" t="s">
        <v>157</v>
      </c>
      <c r="L53">
        <f>(tblSales[[#This Row],[Quantity]]*tblSales[[#This Row],[UnitPrice]])-tblSales[[#This Row],[Discount]]</f>
        <v>12</v>
      </c>
      <c r="M53" s="3" t="str">
        <f>TEXT(tblSales[[#This Row],[SaleDate]],"mmm")</f>
        <v>Mar</v>
      </c>
      <c r="N53">
        <f>HOUR(tblSales[[#This Row],[SaleTime]])</f>
        <v>20</v>
      </c>
      <c r="O53" s="3" t="str">
        <f>TEXT(tblSales[[#This Row],[SaleDate]],"ddd")</f>
        <v>Thu</v>
      </c>
      <c r="P53" t="s">
        <v>31</v>
      </c>
      <c r="Q53" t="s">
        <v>32</v>
      </c>
      <c r="R53" t="s">
        <v>33</v>
      </c>
      <c r="S53">
        <v>3</v>
      </c>
      <c r="T53">
        <f>tblSales[[#This Row],[Quantity]]*tblSales[[#This Row],[CostPrice]]</f>
        <v>3</v>
      </c>
      <c r="U53">
        <f>tblSales[[#This Row],[LineTotal]]-tblSales[[#This Row],[LineCost]]</f>
        <v>9</v>
      </c>
      <c r="V53" s="1">
        <f>IF(tblSales[[#This Row],[LineTotal]]=0,0,tblSales[[#This Row],[GrossProfit]]/tblSales[[#This Row],[LineTotal]])</f>
        <v>0.75</v>
      </c>
      <c r="W53" s="2">
        <f>WEEKDAY(tblSales[[#This Row],[SaleDate]],2)</f>
        <v>4</v>
      </c>
    </row>
    <row r="54" spans="1:23" x14ac:dyDescent="0.45">
      <c r="A54" t="s">
        <v>225</v>
      </c>
      <c r="B54" t="s">
        <v>226</v>
      </c>
      <c r="C54" t="s">
        <v>222</v>
      </c>
      <c r="D54" t="s">
        <v>227</v>
      </c>
      <c r="E54" t="s">
        <v>228</v>
      </c>
      <c r="F54" t="s">
        <v>38</v>
      </c>
      <c r="G54">
        <v>2</v>
      </c>
      <c r="H54">
        <v>55</v>
      </c>
      <c r="I54">
        <v>0</v>
      </c>
      <c r="J54" t="s">
        <v>50</v>
      </c>
      <c r="K54" t="s">
        <v>30</v>
      </c>
      <c r="L54">
        <f>(tblSales[[#This Row],[Quantity]]*tblSales[[#This Row],[UnitPrice]])-tblSales[[#This Row],[Discount]]</f>
        <v>110</v>
      </c>
      <c r="M54" s="3" t="str">
        <f>TEXT(tblSales[[#This Row],[SaleDate]],"mmm")</f>
        <v>Mar</v>
      </c>
      <c r="N54">
        <f>HOUR(tblSales[[#This Row],[SaleTime]])</f>
        <v>12</v>
      </c>
      <c r="O54" s="3" t="str">
        <f>TEXT(tblSales[[#This Row],[SaleDate]],"ddd")</f>
        <v>Thu</v>
      </c>
      <c r="P54" t="s">
        <v>39</v>
      </c>
      <c r="Q54" t="s">
        <v>40</v>
      </c>
      <c r="R54" t="s">
        <v>53</v>
      </c>
      <c r="S54">
        <v>30</v>
      </c>
      <c r="T54">
        <f>tblSales[[#This Row],[Quantity]]*tblSales[[#This Row],[CostPrice]]</f>
        <v>60</v>
      </c>
      <c r="U54">
        <f>tblSales[[#This Row],[LineTotal]]-tblSales[[#This Row],[LineCost]]</f>
        <v>50</v>
      </c>
      <c r="V54" s="1">
        <f>IF(tblSales[[#This Row],[LineTotal]]=0,0,tblSales[[#This Row],[GrossProfit]]/tblSales[[#This Row],[LineTotal]])</f>
        <v>0.45454545454545453</v>
      </c>
      <c r="W54" s="2">
        <f>WEEKDAY(tblSales[[#This Row],[SaleDate]],2)</f>
        <v>4</v>
      </c>
    </row>
    <row r="55" spans="1:23" x14ac:dyDescent="0.45">
      <c r="A55" t="s">
        <v>229</v>
      </c>
      <c r="B55" t="s">
        <v>226</v>
      </c>
      <c r="C55" t="s">
        <v>222</v>
      </c>
      <c r="D55" t="s">
        <v>227</v>
      </c>
      <c r="E55" t="s">
        <v>228</v>
      </c>
      <c r="F55" t="s">
        <v>78</v>
      </c>
      <c r="G55">
        <v>1</v>
      </c>
      <c r="H55">
        <v>72</v>
      </c>
      <c r="I55">
        <v>0</v>
      </c>
      <c r="J55" t="s">
        <v>50</v>
      </c>
      <c r="K55" t="s">
        <v>30</v>
      </c>
      <c r="L55">
        <f>(tblSales[[#This Row],[Quantity]]*tblSales[[#This Row],[UnitPrice]])-tblSales[[#This Row],[Discount]]</f>
        <v>72</v>
      </c>
      <c r="M55" s="3" t="str">
        <f>TEXT(tblSales[[#This Row],[SaleDate]],"mmm")</f>
        <v>Mar</v>
      </c>
      <c r="N55">
        <f>HOUR(tblSales[[#This Row],[SaleTime]])</f>
        <v>12</v>
      </c>
      <c r="O55" s="3" t="str">
        <f>TEXT(tblSales[[#This Row],[SaleDate]],"ddd")</f>
        <v>Thu</v>
      </c>
      <c r="P55" t="s">
        <v>79</v>
      </c>
      <c r="Q55" t="s">
        <v>80</v>
      </c>
      <c r="R55" t="s">
        <v>53</v>
      </c>
      <c r="S55">
        <v>38</v>
      </c>
      <c r="T55">
        <f>tblSales[[#This Row],[Quantity]]*tblSales[[#This Row],[CostPrice]]</f>
        <v>38</v>
      </c>
      <c r="U55">
        <f>tblSales[[#This Row],[LineTotal]]-tblSales[[#This Row],[LineCost]]</f>
        <v>34</v>
      </c>
      <c r="V55" s="1">
        <f>IF(tblSales[[#This Row],[LineTotal]]=0,0,tblSales[[#This Row],[GrossProfit]]/tblSales[[#This Row],[LineTotal]])</f>
        <v>0.47222222222222221</v>
      </c>
      <c r="W55" s="2">
        <f>WEEKDAY(tblSales[[#This Row],[SaleDate]],2)</f>
        <v>4</v>
      </c>
    </row>
    <row r="56" spans="1:23" x14ac:dyDescent="0.45">
      <c r="A56" t="s">
        <v>230</v>
      </c>
      <c r="B56" t="s">
        <v>231</v>
      </c>
      <c r="C56" t="s">
        <v>222</v>
      </c>
      <c r="D56" t="s">
        <v>232</v>
      </c>
      <c r="E56" t="s">
        <v>233</v>
      </c>
      <c r="F56" t="s">
        <v>28</v>
      </c>
      <c r="G56">
        <v>1</v>
      </c>
      <c r="H56">
        <v>12</v>
      </c>
      <c r="I56">
        <v>0</v>
      </c>
      <c r="J56" t="s">
        <v>60</v>
      </c>
      <c r="K56" t="s">
        <v>30</v>
      </c>
      <c r="L56">
        <f>(tblSales[[#This Row],[Quantity]]*tblSales[[#This Row],[UnitPrice]])-tblSales[[#This Row],[Discount]]</f>
        <v>12</v>
      </c>
      <c r="M56" s="3" t="str">
        <f>TEXT(tblSales[[#This Row],[SaleDate]],"mmm")</f>
        <v>Mar</v>
      </c>
      <c r="N56">
        <f>HOUR(tblSales[[#This Row],[SaleTime]])</f>
        <v>20</v>
      </c>
      <c r="O56" s="3" t="str">
        <f>TEXT(tblSales[[#This Row],[SaleDate]],"ddd")</f>
        <v>Thu</v>
      </c>
      <c r="P56" t="s">
        <v>31</v>
      </c>
      <c r="Q56" t="s">
        <v>32</v>
      </c>
      <c r="R56" t="s">
        <v>63</v>
      </c>
      <c r="S56">
        <v>3</v>
      </c>
      <c r="T56">
        <f>tblSales[[#This Row],[Quantity]]*tblSales[[#This Row],[CostPrice]]</f>
        <v>3</v>
      </c>
      <c r="U56">
        <f>tblSales[[#This Row],[LineTotal]]-tblSales[[#This Row],[LineCost]]</f>
        <v>9</v>
      </c>
      <c r="V56" s="1">
        <f>IF(tblSales[[#This Row],[LineTotal]]=0,0,tblSales[[#This Row],[GrossProfit]]/tblSales[[#This Row],[LineTotal]])</f>
        <v>0.75</v>
      </c>
      <c r="W56" s="2">
        <f>WEEKDAY(tblSales[[#This Row],[SaleDate]],2)</f>
        <v>4</v>
      </c>
    </row>
    <row r="57" spans="1:23" x14ac:dyDescent="0.45">
      <c r="A57" t="s">
        <v>234</v>
      </c>
      <c r="B57" t="s">
        <v>235</v>
      </c>
      <c r="C57" t="s">
        <v>236</v>
      </c>
      <c r="D57" t="s">
        <v>237</v>
      </c>
      <c r="E57" t="s">
        <v>189</v>
      </c>
      <c r="F57" t="s">
        <v>197</v>
      </c>
      <c r="G57">
        <v>2</v>
      </c>
      <c r="H57">
        <v>28</v>
      </c>
      <c r="I57">
        <v>0</v>
      </c>
      <c r="J57" t="s">
        <v>50</v>
      </c>
      <c r="K57" t="s">
        <v>86</v>
      </c>
      <c r="L57">
        <f>(tblSales[[#This Row],[Quantity]]*tblSales[[#This Row],[UnitPrice]])-tblSales[[#This Row],[Discount]]</f>
        <v>56</v>
      </c>
      <c r="M57" s="3" t="str">
        <f>TEXT(tblSales[[#This Row],[SaleDate]],"mmm")</f>
        <v>Mar</v>
      </c>
      <c r="N57">
        <f>HOUR(tblSales[[#This Row],[SaleTime]])</f>
        <v>21</v>
      </c>
      <c r="O57" s="3" t="str">
        <f>TEXT(tblSales[[#This Row],[SaleDate]],"ddd")</f>
        <v>Sat</v>
      </c>
      <c r="P57" t="s">
        <v>105</v>
      </c>
      <c r="Q57" t="s">
        <v>198</v>
      </c>
      <c r="R57" t="s">
        <v>53</v>
      </c>
      <c r="S57">
        <v>12</v>
      </c>
      <c r="T57">
        <f>tblSales[[#This Row],[Quantity]]*tblSales[[#This Row],[CostPrice]]</f>
        <v>24</v>
      </c>
      <c r="U57">
        <f>tblSales[[#This Row],[LineTotal]]-tblSales[[#This Row],[LineCost]]</f>
        <v>32</v>
      </c>
      <c r="V57" s="1">
        <f>IF(tblSales[[#This Row],[LineTotal]]=0,0,tblSales[[#This Row],[GrossProfit]]/tblSales[[#This Row],[LineTotal]])</f>
        <v>0.5714285714285714</v>
      </c>
      <c r="W57" s="2">
        <f>WEEKDAY(tblSales[[#This Row],[SaleDate]],2)</f>
        <v>6</v>
      </c>
    </row>
    <row r="58" spans="1:23" x14ac:dyDescent="0.45">
      <c r="A58" t="s">
        <v>238</v>
      </c>
      <c r="B58" t="s">
        <v>239</v>
      </c>
      <c r="C58" t="s">
        <v>240</v>
      </c>
      <c r="D58" t="s">
        <v>241</v>
      </c>
      <c r="E58" t="s">
        <v>27</v>
      </c>
      <c r="F58" t="s">
        <v>49</v>
      </c>
      <c r="G58">
        <v>1</v>
      </c>
      <c r="H58">
        <v>62</v>
      </c>
      <c r="I58">
        <v>15</v>
      </c>
      <c r="J58" t="s">
        <v>50</v>
      </c>
      <c r="K58" t="s">
        <v>30</v>
      </c>
      <c r="L58">
        <f>(tblSales[[#This Row],[Quantity]]*tblSales[[#This Row],[UnitPrice]])-tblSales[[#This Row],[Discount]]</f>
        <v>47</v>
      </c>
      <c r="M58" s="3" t="str">
        <f>TEXT(tblSales[[#This Row],[SaleDate]],"mmm")</f>
        <v>Mar</v>
      </c>
      <c r="N58">
        <f>HOUR(tblSales[[#This Row],[SaleTime]])</f>
        <v>22</v>
      </c>
      <c r="O58" s="3" t="str">
        <f>TEXT(tblSales[[#This Row],[SaleDate]],"ddd")</f>
        <v>Sun</v>
      </c>
      <c r="P58" t="s">
        <v>51</v>
      </c>
      <c r="Q58" t="s">
        <v>52</v>
      </c>
      <c r="R58" t="s">
        <v>53</v>
      </c>
      <c r="S58">
        <v>34</v>
      </c>
      <c r="T58">
        <f>tblSales[[#This Row],[Quantity]]*tblSales[[#This Row],[CostPrice]]</f>
        <v>34</v>
      </c>
      <c r="U58">
        <f>tblSales[[#This Row],[LineTotal]]-tblSales[[#This Row],[LineCost]]</f>
        <v>13</v>
      </c>
      <c r="V58" s="1">
        <f>IF(tblSales[[#This Row],[LineTotal]]=0,0,tblSales[[#This Row],[GrossProfit]]/tblSales[[#This Row],[LineTotal]])</f>
        <v>0.27659574468085107</v>
      </c>
      <c r="W58" s="2">
        <f>WEEKDAY(tblSales[[#This Row],[SaleDate]],2)</f>
        <v>7</v>
      </c>
    </row>
    <row r="59" spans="1:23" x14ac:dyDescent="0.45">
      <c r="A59" t="s">
        <v>242</v>
      </c>
      <c r="B59" t="s">
        <v>239</v>
      </c>
      <c r="C59" t="s">
        <v>240</v>
      </c>
      <c r="D59" t="s">
        <v>241</v>
      </c>
      <c r="E59" t="s">
        <v>27</v>
      </c>
      <c r="F59" t="s">
        <v>182</v>
      </c>
      <c r="G59">
        <v>2</v>
      </c>
      <c r="H59">
        <v>15</v>
      </c>
      <c r="I59">
        <v>15</v>
      </c>
      <c r="J59" t="s">
        <v>50</v>
      </c>
      <c r="K59" t="s">
        <v>30</v>
      </c>
      <c r="L59">
        <f>(tblSales[[#This Row],[Quantity]]*tblSales[[#This Row],[UnitPrice]])-tblSales[[#This Row],[Discount]]</f>
        <v>15</v>
      </c>
      <c r="M59" s="3" t="str">
        <f>TEXT(tblSales[[#This Row],[SaleDate]],"mmm")</f>
        <v>Mar</v>
      </c>
      <c r="N59">
        <f>HOUR(tblSales[[#This Row],[SaleTime]])</f>
        <v>22</v>
      </c>
      <c r="O59" s="3" t="str">
        <f>TEXT(tblSales[[#This Row],[SaleDate]],"ddd")</f>
        <v>Sun</v>
      </c>
      <c r="P59" t="s">
        <v>105</v>
      </c>
      <c r="Q59" t="s">
        <v>183</v>
      </c>
      <c r="R59" t="s">
        <v>53</v>
      </c>
      <c r="S59">
        <v>6</v>
      </c>
      <c r="T59">
        <f>tblSales[[#This Row],[Quantity]]*tblSales[[#This Row],[CostPrice]]</f>
        <v>12</v>
      </c>
      <c r="U59">
        <f>tblSales[[#This Row],[LineTotal]]-tblSales[[#This Row],[LineCost]]</f>
        <v>3</v>
      </c>
      <c r="V59" s="1">
        <f>IF(tblSales[[#This Row],[LineTotal]]=0,0,tblSales[[#This Row],[GrossProfit]]/tblSales[[#This Row],[LineTotal]])</f>
        <v>0.2</v>
      </c>
      <c r="W59" s="2">
        <f>WEEKDAY(tblSales[[#This Row],[SaleDate]],2)</f>
        <v>7</v>
      </c>
    </row>
    <row r="60" spans="1:23" x14ac:dyDescent="0.45">
      <c r="A60" t="s">
        <v>243</v>
      </c>
      <c r="B60" t="s">
        <v>244</v>
      </c>
      <c r="C60" t="s">
        <v>245</v>
      </c>
      <c r="D60" t="s">
        <v>246</v>
      </c>
      <c r="E60" t="s">
        <v>58</v>
      </c>
      <c r="F60" t="s">
        <v>197</v>
      </c>
      <c r="G60">
        <v>2</v>
      </c>
      <c r="H60">
        <v>28</v>
      </c>
      <c r="I60">
        <v>0</v>
      </c>
      <c r="J60" t="s">
        <v>60</v>
      </c>
      <c r="K60" t="s">
        <v>30</v>
      </c>
      <c r="L60">
        <f>(tblSales[[#This Row],[Quantity]]*tblSales[[#This Row],[UnitPrice]])-tblSales[[#This Row],[Discount]]</f>
        <v>56</v>
      </c>
      <c r="M60" s="3" t="str">
        <f>TEXT(tblSales[[#This Row],[SaleDate]],"mmm")</f>
        <v>Mar</v>
      </c>
      <c r="N60">
        <f>HOUR(tblSales[[#This Row],[SaleTime]])</f>
        <v>11</v>
      </c>
      <c r="O60" s="3" t="str">
        <f>TEXT(tblSales[[#This Row],[SaleDate]],"ddd")</f>
        <v>Wed</v>
      </c>
      <c r="P60" t="s">
        <v>105</v>
      </c>
      <c r="Q60" t="s">
        <v>198</v>
      </c>
      <c r="R60" t="s">
        <v>63</v>
      </c>
      <c r="S60">
        <v>12</v>
      </c>
      <c r="T60">
        <f>tblSales[[#This Row],[Quantity]]*tblSales[[#This Row],[CostPrice]]</f>
        <v>24</v>
      </c>
      <c r="U60">
        <f>tblSales[[#This Row],[LineTotal]]-tblSales[[#This Row],[LineCost]]</f>
        <v>32</v>
      </c>
      <c r="V60" s="1">
        <f>IF(tblSales[[#This Row],[LineTotal]]=0,0,tblSales[[#This Row],[GrossProfit]]/tblSales[[#This Row],[LineTotal]])</f>
        <v>0.5714285714285714</v>
      </c>
      <c r="W60" s="2">
        <f>WEEKDAY(tblSales[[#This Row],[SaleDate]],2)</f>
        <v>3</v>
      </c>
    </row>
    <row r="61" spans="1:23" x14ac:dyDescent="0.45">
      <c r="A61" t="s">
        <v>247</v>
      </c>
      <c r="B61" t="s">
        <v>248</v>
      </c>
      <c r="C61" t="s">
        <v>249</v>
      </c>
      <c r="D61" t="s">
        <v>250</v>
      </c>
      <c r="F61" t="s">
        <v>28</v>
      </c>
      <c r="G61">
        <v>1</v>
      </c>
      <c r="H61">
        <v>12</v>
      </c>
      <c r="I61">
        <v>0</v>
      </c>
      <c r="J61" t="s">
        <v>50</v>
      </c>
      <c r="K61" t="s">
        <v>30</v>
      </c>
      <c r="L61">
        <f>(tblSales[[#This Row],[Quantity]]*tblSales[[#This Row],[UnitPrice]])-tblSales[[#This Row],[Discount]]</f>
        <v>12</v>
      </c>
      <c r="M61" s="3" t="str">
        <f>TEXT(tblSales[[#This Row],[SaleDate]],"mmm")</f>
        <v>Mar</v>
      </c>
      <c r="N61">
        <f>HOUR(tblSales[[#This Row],[SaleTime]])</f>
        <v>11</v>
      </c>
      <c r="O61" s="3" t="str">
        <f>TEXT(tblSales[[#This Row],[SaleDate]],"ddd")</f>
        <v>Thu</v>
      </c>
      <c r="P61" t="s">
        <v>31</v>
      </c>
      <c r="Q61" t="s">
        <v>32</v>
      </c>
      <c r="R61" t="s">
        <v>53</v>
      </c>
      <c r="S61">
        <v>3</v>
      </c>
      <c r="T61">
        <f>tblSales[[#This Row],[Quantity]]*tblSales[[#This Row],[CostPrice]]</f>
        <v>3</v>
      </c>
      <c r="U61">
        <f>tblSales[[#This Row],[LineTotal]]-tblSales[[#This Row],[LineCost]]</f>
        <v>9</v>
      </c>
      <c r="V61" s="1">
        <f>IF(tblSales[[#This Row],[LineTotal]]=0,0,tblSales[[#This Row],[GrossProfit]]/tblSales[[#This Row],[LineTotal]])</f>
        <v>0.75</v>
      </c>
      <c r="W61" s="2">
        <f>WEEKDAY(tblSales[[#This Row],[SaleDate]],2)</f>
        <v>4</v>
      </c>
    </row>
    <row r="62" spans="1:23" x14ac:dyDescent="0.45">
      <c r="A62" t="s">
        <v>251</v>
      </c>
      <c r="B62" t="s">
        <v>248</v>
      </c>
      <c r="C62" t="s">
        <v>249</v>
      </c>
      <c r="D62" t="s">
        <v>250</v>
      </c>
      <c r="F62" t="s">
        <v>49</v>
      </c>
      <c r="G62">
        <v>2</v>
      </c>
      <c r="H62">
        <v>62</v>
      </c>
      <c r="I62">
        <v>0</v>
      </c>
      <c r="J62" t="s">
        <v>50</v>
      </c>
      <c r="K62" t="s">
        <v>30</v>
      </c>
      <c r="L62">
        <f>(tblSales[[#This Row],[Quantity]]*tblSales[[#This Row],[UnitPrice]])-tblSales[[#This Row],[Discount]]</f>
        <v>124</v>
      </c>
      <c r="M62" s="3" t="str">
        <f>TEXT(tblSales[[#This Row],[SaleDate]],"mmm")</f>
        <v>Mar</v>
      </c>
      <c r="N62">
        <f>HOUR(tblSales[[#This Row],[SaleTime]])</f>
        <v>11</v>
      </c>
      <c r="O62" s="3" t="str">
        <f>TEXT(tblSales[[#This Row],[SaleDate]],"ddd")</f>
        <v>Thu</v>
      </c>
      <c r="P62" t="s">
        <v>51</v>
      </c>
      <c r="Q62" t="s">
        <v>52</v>
      </c>
      <c r="R62" t="s">
        <v>53</v>
      </c>
      <c r="S62">
        <v>34</v>
      </c>
      <c r="T62">
        <f>tblSales[[#This Row],[Quantity]]*tblSales[[#This Row],[CostPrice]]</f>
        <v>68</v>
      </c>
      <c r="U62">
        <f>tblSales[[#This Row],[LineTotal]]-tblSales[[#This Row],[LineCost]]</f>
        <v>56</v>
      </c>
      <c r="V62" s="1">
        <f>IF(tblSales[[#This Row],[LineTotal]]=0,0,tblSales[[#This Row],[GrossProfit]]/tblSales[[#This Row],[LineTotal]])</f>
        <v>0.45161290322580644</v>
      </c>
      <c r="W62" s="2">
        <f>WEEKDAY(tblSales[[#This Row],[SaleDate]],2)</f>
        <v>4</v>
      </c>
    </row>
    <row r="63" spans="1:23" x14ac:dyDescent="0.45">
      <c r="A63" t="s">
        <v>252</v>
      </c>
      <c r="B63" t="s">
        <v>253</v>
      </c>
      <c r="C63" t="s">
        <v>249</v>
      </c>
      <c r="D63" t="s">
        <v>212</v>
      </c>
      <c r="E63" t="s">
        <v>121</v>
      </c>
      <c r="F63" t="s">
        <v>28</v>
      </c>
      <c r="G63">
        <v>2</v>
      </c>
      <c r="H63">
        <v>12</v>
      </c>
      <c r="I63">
        <v>0</v>
      </c>
      <c r="J63" t="s">
        <v>50</v>
      </c>
      <c r="K63" t="s">
        <v>30</v>
      </c>
      <c r="L63">
        <f>(tblSales[[#This Row],[Quantity]]*tblSales[[#This Row],[UnitPrice]])-tblSales[[#This Row],[Discount]]</f>
        <v>24</v>
      </c>
      <c r="M63" s="3" t="str">
        <f>TEXT(tblSales[[#This Row],[SaleDate]],"mmm")</f>
        <v>Mar</v>
      </c>
      <c r="N63">
        <f>HOUR(tblSales[[#This Row],[SaleTime]])</f>
        <v>13</v>
      </c>
      <c r="O63" s="3" t="str">
        <f>TEXT(tblSales[[#This Row],[SaleDate]],"ddd")</f>
        <v>Thu</v>
      </c>
      <c r="P63" t="s">
        <v>31</v>
      </c>
      <c r="Q63" t="s">
        <v>32</v>
      </c>
      <c r="R63" t="s">
        <v>53</v>
      </c>
      <c r="S63">
        <v>3</v>
      </c>
      <c r="T63">
        <f>tblSales[[#This Row],[Quantity]]*tblSales[[#This Row],[CostPrice]]</f>
        <v>6</v>
      </c>
      <c r="U63">
        <f>tblSales[[#This Row],[LineTotal]]-tblSales[[#This Row],[LineCost]]</f>
        <v>18</v>
      </c>
      <c r="V63" s="1">
        <f>IF(tblSales[[#This Row],[LineTotal]]=0,0,tblSales[[#This Row],[GrossProfit]]/tblSales[[#This Row],[LineTotal]])</f>
        <v>0.75</v>
      </c>
      <c r="W63" s="2">
        <f>WEEKDAY(tblSales[[#This Row],[SaleDate]],2)</f>
        <v>4</v>
      </c>
    </row>
    <row r="64" spans="1:23" x14ac:dyDescent="0.45">
      <c r="A64" t="s">
        <v>254</v>
      </c>
      <c r="B64" t="s">
        <v>255</v>
      </c>
      <c r="C64" t="s">
        <v>256</v>
      </c>
      <c r="D64" t="s">
        <v>257</v>
      </c>
      <c r="E64" t="s">
        <v>258</v>
      </c>
      <c r="F64" t="s">
        <v>104</v>
      </c>
      <c r="G64">
        <v>2</v>
      </c>
      <c r="H64">
        <v>18</v>
      </c>
      <c r="I64">
        <v>5</v>
      </c>
      <c r="J64" t="s">
        <v>29</v>
      </c>
      <c r="K64" t="s">
        <v>30</v>
      </c>
      <c r="L64">
        <f>(tblSales[[#This Row],[Quantity]]*tblSales[[#This Row],[UnitPrice]])-tblSales[[#This Row],[Discount]]</f>
        <v>31</v>
      </c>
      <c r="M64" s="3" t="str">
        <f>TEXT(tblSales[[#This Row],[SaleDate]],"mmm")</f>
        <v>Mar</v>
      </c>
      <c r="N64">
        <f>HOUR(tblSales[[#This Row],[SaleTime]])</f>
        <v>13</v>
      </c>
      <c r="O64" s="3" t="str">
        <f>TEXT(tblSales[[#This Row],[SaleDate]],"ddd")</f>
        <v>Fri</v>
      </c>
      <c r="P64" t="s">
        <v>105</v>
      </c>
      <c r="Q64" t="s">
        <v>106</v>
      </c>
      <c r="R64" t="s">
        <v>33</v>
      </c>
      <c r="S64">
        <v>8</v>
      </c>
      <c r="T64">
        <f>tblSales[[#This Row],[Quantity]]*tblSales[[#This Row],[CostPrice]]</f>
        <v>16</v>
      </c>
      <c r="U64">
        <f>tblSales[[#This Row],[LineTotal]]-tblSales[[#This Row],[LineCost]]</f>
        <v>15</v>
      </c>
      <c r="V64" s="1">
        <f>IF(tblSales[[#This Row],[LineTotal]]=0,0,tblSales[[#This Row],[GrossProfit]]/tblSales[[#This Row],[LineTotal]])</f>
        <v>0.4838709677419355</v>
      </c>
      <c r="W64" s="2">
        <f>WEEKDAY(tblSales[[#This Row],[SaleDate]],2)</f>
        <v>5</v>
      </c>
    </row>
    <row r="65" spans="1:23" x14ac:dyDescent="0.45">
      <c r="A65" t="s">
        <v>259</v>
      </c>
      <c r="B65" t="s">
        <v>255</v>
      </c>
      <c r="C65" t="s">
        <v>256</v>
      </c>
      <c r="D65" t="s">
        <v>257</v>
      </c>
      <c r="E65" t="s">
        <v>258</v>
      </c>
      <c r="F65" t="s">
        <v>140</v>
      </c>
      <c r="G65">
        <v>2</v>
      </c>
      <c r="H65">
        <v>22</v>
      </c>
      <c r="I65">
        <v>5</v>
      </c>
      <c r="J65" t="s">
        <v>29</v>
      </c>
      <c r="K65" t="s">
        <v>30</v>
      </c>
      <c r="L65">
        <f>(tblSales[[#This Row],[Quantity]]*tblSales[[#This Row],[UnitPrice]])-tblSales[[#This Row],[Discount]]</f>
        <v>39</v>
      </c>
      <c r="M65" s="3" t="str">
        <f>TEXT(tblSales[[#This Row],[SaleDate]],"mmm")</f>
        <v>Mar</v>
      </c>
      <c r="N65">
        <f>HOUR(tblSales[[#This Row],[SaleTime]])</f>
        <v>13</v>
      </c>
      <c r="O65" s="3" t="str">
        <f>TEXT(tblSales[[#This Row],[SaleDate]],"ddd")</f>
        <v>Fri</v>
      </c>
      <c r="P65" t="s">
        <v>124</v>
      </c>
      <c r="Q65" t="s">
        <v>141</v>
      </c>
      <c r="R65" t="s">
        <v>33</v>
      </c>
      <c r="S65">
        <v>10</v>
      </c>
      <c r="T65">
        <f>tblSales[[#This Row],[Quantity]]*tblSales[[#This Row],[CostPrice]]</f>
        <v>20</v>
      </c>
      <c r="U65">
        <f>tblSales[[#This Row],[LineTotal]]-tblSales[[#This Row],[LineCost]]</f>
        <v>19</v>
      </c>
      <c r="V65" s="1">
        <f>IF(tblSales[[#This Row],[LineTotal]]=0,0,tblSales[[#This Row],[GrossProfit]]/tblSales[[#This Row],[LineTotal]])</f>
        <v>0.48717948717948717</v>
      </c>
      <c r="W65" s="2">
        <f>WEEKDAY(tblSales[[#This Row],[SaleDate]],2)</f>
        <v>5</v>
      </c>
    </row>
    <row r="66" spans="1:23" x14ac:dyDescent="0.45">
      <c r="A66" t="s">
        <v>260</v>
      </c>
      <c r="B66" t="s">
        <v>261</v>
      </c>
      <c r="C66" t="s">
        <v>262</v>
      </c>
      <c r="D66" t="s">
        <v>57</v>
      </c>
      <c r="E66" t="s">
        <v>148</v>
      </c>
      <c r="F66" t="s">
        <v>59</v>
      </c>
      <c r="G66">
        <v>2</v>
      </c>
      <c r="H66">
        <v>35</v>
      </c>
      <c r="I66">
        <v>0</v>
      </c>
      <c r="J66" t="s">
        <v>29</v>
      </c>
      <c r="K66" t="s">
        <v>30</v>
      </c>
      <c r="L66">
        <f>(tblSales[[#This Row],[Quantity]]*tblSales[[#This Row],[UnitPrice]])-tblSales[[#This Row],[Discount]]</f>
        <v>70</v>
      </c>
      <c r="M66" s="3" t="str">
        <f>TEXT(tblSales[[#This Row],[SaleDate]],"mmm")</f>
        <v>Mar</v>
      </c>
      <c r="N66">
        <f>HOUR(tblSales[[#This Row],[SaleTime]])</f>
        <v>13</v>
      </c>
      <c r="O66" s="3" t="str">
        <f>TEXT(tblSales[[#This Row],[SaleDate]],"ddd")</f>
        <v>Sat</v>
      </c>
      <c r="P66" t="s">
        <v>61</v>
      </c>
      <c r="Q66" t="s">
        <v>62</v>
      </c>
      <c r="R66" t="s">
        <v>33</v>
      </c>
      <c r="S66">
        <v>18</v>
      </c>
      <c r="T66">
        <f>tblSales[[#This Row],[Quantity]]*tblSales[[#This Row],[CostPrice]]</f>
        <v>36</v>
      </c>
      <c r="U66">
        <f>tblSales[[#This Row],[LineTotal]]-tblSales[[#This Row],[LineCost]]</f>
        <v>34</v>
      </c>
      <c r="V66" s="1">
        <f>IF(tblSales[[#This Row],[LineTotal]]=0,0,tblSales[[#This Row],[GrossProfit]]/tblSales[[#This Row],[LineTotal]])</f>
        <v>0.48571428571428571</v>
      </c>
      <c r="W66" s="2">
        <f>WEEKDAY(tblSales[[#This Row],[SaleDate]],2)</f>
        <v>6</v>
      </c>
    </row>
    <row r="67" spans="1:23" x14ac:dyDescent="0.45">
      <c r="A67" t="s">
        <v>263</v>
      </c>
      <c r="B67" t="s">
        <v>261</v>
      </c>
      <c r="C67" t="s">
        <v>262</v>
      </c>
      <c r="D67" t="s">
        <v>57</v>
      </c>
      <c r="E67" t="s">
        <v>148</v>
      </c>
      <c r="F67" t="s">
        <v>42</v>
      </c>
      <c r="G67">
        <v>1</v>
      </c>
      <c r="H67">
        <v>12</v>
      </c>
      <c r="I67">
        <v>0</v>
      </c>
      <c r="J67" t="s">
        <v>29</v>
      </c>
      <c r="K67" t="s">
        <v>30</v>
      </c>
      <c r="L67">
        <f>(tblSales[[#This Row],[Quantity]]*tblSales[[#This Row],[UnitPrice]])-tblSales[[#This Row],[Discount]]</f>
        <v>12</v>
      </c>
      <c r="M67" s="3" t="str">
        <f>TEXT(tblSales[[#This Row],[SaleDate]],"mmm")</f>
        <v>Mar</v>
      </c>
      <c r="N67">
        <f>HOUR(tblSales[[#This Row],[SaleTime]])</f>
        <v>13</v>
      </c>
      <c r="O67" s="3" t="str">
        <f>TEXT(tblSales[[#This Row],[SaleDate]],"ddd")</f>
        <v>Sat</v>
      </c>
      <c r="P67" t="s">
        <v>31</v>
      </c>
      <c r="Q67" t="s">
        <v>43</v>
      </c>
      <c r="R67" t="s">
        <v>33</v>
      </c>
      <c r="S67">
        <v>5</v>
      </c>
      <c r="T67">
        <f>tblSales[[#This Row],[Quantity]]*tblSales[[#This Row],[CostPrice]]</f>
        <v>5</v>
      </c>
      <c r="U67">
        <f>tblSales[[#This Row],[LineTotal]]-tblSales[[#This Row],[LineCost]]</f>
        <v>7</v>
      </c>
      <c r="V67" s="1">
        <f>IF(tblSales[[#This Row],[LineTotal]]=0,0,tblSales[[#This Row],[GrossProfit]]/tblSales[[#This Row],[LineTotal]])</f>
        <v>0.58333333333333337</v>
      </c>
      <c r="W67" s="2">
        <f>WEEKDAY(tblSales[[#This Row],[SaleDate]],2)</f>
        <v>6</v>
      </c>
    </row>
    <row r="68" spans="1:23" x14ac:dyDescent="0.45">
      <c r="A68" t="s">
        <v>264</v>
      </c>
      <c r="B68" t="s">
        <v>265</v>
      </c>
      <c r="C68" t="s">
        <v>266</v>
      </c>
      <c r="D68" t="s">
        <v>267</v>
      </c>
      <c r="E68" t="s">
        <v>268</v>
      </c>
      <c r="F68" t="s">
        <v>28</v>
      </c>
      <c r="G68">
        <v>2</v>
      </c>
      <c r="H68">
        <v>12</v>
      </c>
      <c r="I68">
        <v>0</v>
      </c>
      <c r="J68" t="s">
        <v>29</v>
      </c>
      <c r="K68" t="s">
        <v>30</v>
      </c>
      <c r="L68">
        <f>(tblSales[[#This Row],[Quantity]]*tblSales[[#This Row],[UnitPrice]])-tblSales[[#This Row],[Discount]]</f>
        <v>24</v>
      </c>
      <c r="M68" s="3" t="str">
        <f>TEXT(tblSales[[#This Row],[SaleDate]],"mmm")</f>
        <v>Mar</v>
      </c>
      <c r="N68">
        <f>HOUR(tblSales[[#This Row],[SaleTime]])</f>
        <v>20</v>
      </c>
      <c r="O68" s="3" t="str">
        <f>TEXT(tblSales[[#This Row],[SaleDate]],"ddd")</f>
        <v>Mon</v>
      </c>
      <c r="P68" t="s">
        <v>31</v>
      </c>
      <c r="Q68" t="s">
        <v>32</v>
      </c>
      <c r="R68" t="s">
        <v>33</v>
      </c>
      <c r="S68">
        <v>3</v>
      </c>
      <c r="T68">
        <f>tblSales[[#This Row],[Quantity]]*tblSales[[#This Row],[CostPrice]]</f>
        <v>6</v>
      </c>
      <c r="U68">
        <f>tblSales[[#This Row],[LineTotal]]-tblSales[[#This Row],[LineCost]]</f>
        <v>18</v>
      </c>
      <c r="V68" s="1">
        <f>IF(tblSales[[#This Row],[LineTotal]]=0,0,tblSales[[#This Row],[GrossProfit]]/tblSales[[#This Row],[LineTotal]])</f>
        <v>0.75</v>
      </c>
      <c r="W68" s="2">
        <f>WEEKDAY(tblSales[[#This Row],[SaleDate]],2)</f>
        <v>1</v>
      </c>
    </row>
    <row r="69" spans="1:23" x14ac:dyDescent="0.45">
      <c r="A69" t="s">
        <v>269</v>
      </c>
      <c r="B69" t="s">
        <v>265</v>
      </c>
      <c r="C69" t="s">
        <v>266</v>
      </c>
      <c r="D69" t="s">
        <v>267</v>
      </c>
      <c r="E69" t="s">
        <v>268</v>
      </c>
      <c r="F69" t="s">
        <v>78</v>
      </c>
      <c r="G69">
        <v>1</v>
      </c>
      <c r="H69">
        <v>72</v>
      </c>
      <c r="I69">
        <v>0</v>
      </c>
      <c r="J69" t="s">
        <v>29</v>
      </c>
      <c r="K69" t="s">
        <v>30</v>
      </c>
      <c r="L69">
        <f>(tblSales[[#This Row],[Quantity]]*tblSales[[#This Row],[UnitPrice]])-tblSales[[#This Row],[Discount]]</f>
        <v>72</v>
      </c>
      <c r="M69" s="3" t="str">
        <f>TEXT(tblSales[[#This Row],[SaleDate]],"mmm")</f>
        <v>Mar</v>
      </c>
      <c r="N69">
        <f>HOUR(tblSales[[#This Row],[SaleTime]])</f>
        <v>20</v>
      </c>
      <c r="O69" s="3" t="str">
        <f>TEXT(tblSales[[#This Row],[SaleDate]],"ddd")</f>
        <v>Mon</v>
      </c>
      <c r="P69" t="s">
        <v>79</v>
      </c>
      <c r="Q69" t="s">
        <v>80</v>
      </c>
      <c r="R69" t="s">
        <v>33</v>
      </c>
      <c r="S69">
        <v>38</v>
      </c>
      <c r="T69">
        <f>tblSales[[#This Row],[Quantity]]*tblSales[[#This Row],[CostPrice]]</f>
        <v>38</v>
      </c>
      <c r="U69">
        <f>tblSales[[#This Row],[LineTotal]]-tblSales[[#This Row],[LineCost]]</f>
        <v>34</v>
      </c>
      <c r="V69" s="1">
        <f>IF(tblSales[[#This Row],[LineTotal]]=0,0,tblSales[[#This Row],[GrossProfit]]/tblSales[[#This Row],[LineTotal]])</f>
        <v>0.47222222222222221</v>
      </c>
      <c r="W69" s="2">
        <f>WEEKDAY(tblSales[[#This Row],[SaleDate]],2)</f>
        <v>1</v>
      </c>
    </row>
    <row r="70" spans="1:23" x14ac:dyDescent="0.45">
      <c r="A70" t="s">
        <v>270</v>
      </c>
      <c r="B70" t="s">
        <v>271</v>
      </c>
      <c r="C70" t="s">
        <v>272</v>
      </c>
      <c r="D70" t="s">
        <v>273</v>
      </c>
      <c r="E70" t="s">
        <v>274</v>
      </c>
      <c r="F70" t="s">
        <v>70</v>
      </c>
      <c r="G70">
        <v>1</v>
      </c>
      <c r="H70">
        <v>12</v>
      </c>
      <c r="I70">
        <v>0</v>
      </c>
      <c r="J70" t="s">
        <v>29</v>
      </c>
      <c r="K70" t="s">
        <v>30</v>
      </c>
      <c r="L70">
        <f>(tblSales[[#This Row],[Quantity]]*tblSales[[#This Row],[UnitPrice]])-tblSales[[#This Row],[Discount]]</f>
        <v>12</v>
      </c>
      <c r="M70" s="3" t="str">
        <f>TEXT(tblSales[[#This Row],[SaleDate]],"mmm")</f>
        <v>Mar</v>
      </c>
      <c r="N70">
        <f>HOUR(tblSales[[#This Row],[SaleTime]])</f>
        <v>13</v>
      </c>
      <c r="O70" s="3" t="str">
        <f>TEXT(tblSales[[#This Row],[SaleDate]],"ddd")</f>
        <v>Fri</v>
      </c>
      <c r="P70" t="s">
        <v>31</v>
      </c>
      <c r="Q70" t="s">
        <v>71</v>
      </c>
      <c r="R70" t="s">
        <v>33</v>
      </c>
      <c r="S70">
        <v>5</v>
      </c>
      <c r="T70">
        <f>tblSales[[#This Row],[Quantity]]*tblSales[[#This Row],[CostPrice]]</f>
        <v>5</v>
      </c>
      <c r="U70">
        <f>tblSales[[#This Row],[LineTotal]]-tblSales[[#This Row],[LineCost]]</f>
        <v>7</v>
      </c>
      <c r="V70" s="1">
        <f>IF(tblSales[[#This Row],[LineTotal]]=0,0,tblSales[[#This Row],[GrossProfit]]/tblSales[[#This Row],[LineTotal]])</f>
        <v>0.58333333333333337</v>
      </c>
      <c r="W70" s="2">
        <f>WEEKDAY(tblSales[[#This Row],[SaleDate]],2)</f>
        <v>5</v>
      </c>
    </row>
    <row r="71" spans="1:23" x14ac:dyDescent="0.45">
      <c r="A71" t="s">
        <v>275</v>
      </c>
      <c r="B71" t="s">
        <v>276</v>
      </c>
      <c r="C71" t="s">
        <v>277</v>
      </c>
      <c r="D71" t="s">
        <v>278</v>
      </c>
      <c r="E71" t="s">
        <v>268</v>
      </c>
      <c r="F71" t="s">
        <v>140</v>
      </c>
      <c r="G71">
        <v>1</v>
      </c>
      <c r="H71">
        <v>22</v>
      </c>
      <c r="I71">
        <v>5</v>
      </c>
      <c r="J71" t="s">
        <v>60</v>
      </c>
      <c r="K71" t="s">
        <v>86</v>
      </c>
      <c r="L71">
        <f>(tblSales[[#This Row],[Quantity]]*tblSales[[#This Row],[UnitPrice]])-tblSales[[#This Row],[Discount]]</f>
        <v>17</v>
      </c>
      <c r="M71" s="3" t="str">
        <f>TEXT(tblSales[[#This Row],[SaleDate]],"mmm")</f>
        <v>Mar</v>
      </c>
      <c r="N71">
        <f>HOUR(tblSales[[#This Row],[SaleTime]])</f>
        <v>11</v>
      </c>
      <c r="O71" s="3" t="str">
        <f>TEXT(tblSales[[#This Row],[SaleDate]],"ddd")</f>
        <v>Mon</v>
      </c>
      <c r="P71" t="s">
        <v>124</v>
      </c>
      <c r="Q71" t="s">
        <v>141</v>
      </c>
      <c r="R71" t="s">
        <v>63</v>
      </c>
      <c r="S71">
        <v>10</v>
      </c>
      <c r="T71">
        <f>tblSales[[#This Row],[Quantity]]*tblSales[[#This Row],[CostPrice]]</f>
        <v>10</v>
      </c>
      <c r="U71">
        <f>tblSales[[#This Row],[LineTotal]]-tblSales[[#This Row],[LineCost]]</f>
        <v>7</v>
      </c>
      <c r="V71" s="1">
        <f>IF(tblSales[[#This Row],[LineTotal]]=0,0,tblSales[[#This Row],[GrossProfit]]/tblSales[[#This Row],[LineTotal]])</f>
        <v>0.41176470588235292</v>
      </c>
      <c r="W71" s="2">
        <f>WEEKDAY(tblSales[[#This Row],[SaleDate]],2)</f>
        <v>1</v>
      </c>
    </row>
    <row r="72" spans="1:23" x14ac:dyDescent="0.45">
      <c r="A72" t="s">
        <v>279</v>
      </c>
      <c r="B72" t="s">
        <v>276</v>
      </c>
      <c r="C72" t="s">
        <v>277</v>
      </c>
      <c r="D72" t="s">
        <v>278</v>
      </c>
      <c r="E72" t="s">
        <v>268</v>
      </c>
      <c r="F72" t="s">
        <v>111</v>
      </c>
      <c r="G72">
        <v>2</v>
      </c>
      <c r="H72">
        <v>12</v>
      </c>
      <c r="I72">
        <v>5</v>
      </c>
      <c r="J72" t="s">
        <v>60</v>
      </c>
      <c r="K72" t="s">
        <v>86</v>
      </c>
      <c r="L72">
        <f>(tblSales[[#This Row],[Quantity]]*tblSales[[#This Row],[UnitPrice]])-tblSales[[#This Row],[Discount]]</f>
        <v>19</v>
      </c>
      <c r="M72" s="3" t="str">
        <f>TEXT(tblSales[[#This Row],[SaleDate]],"mmm")</f>
        <v>Mar</v>
      </c>
      <c r="N72">
        <f>HOUR(tblSales[[#This Row],[SaleTime]])</f>
        <v>11</v>
      </c>
      <c r="O72" s="3" t="str">
        <f>TEXT(tblSales[[#This Row],[SaleDate]],"ddd")</f>
        <v>Mon</v>
      </c>
      <c r="P72" t="s">
        <v>31</v>
      </c>
      <c r="Q72" t="s">
        <v>112</v>
      </c>
      <c r="R72" t="s">
        <v>63</v>
      </c>
      <c r="S72">
        <v>5</v>
      </c>
      <c r="T72">
        <f>tblSales[[#This Row],[Quantity]]*tblSales[[#This Row],[CostPrice]]</f>
        <v>10</v>
      </c>
      <c r="U72">
        <f>tblSales[[#This Row],[LineTotal]]-tblSales[[#This Row],[LineCost]]</f>
        <v>9</v>
      </c>
      <c r="V72" s="1">
        <f>IF(tblSales[[#This Row],[LineTotal]]=0,0,tblSales[[#This Row],[GrossProfit]]/tblSales[[#This Row],[LineTotal]])</f>
        <v>0.47368421052631576</v>
      </c>
      <c r="W72" s="2">
        <f>WEEKDAY(tblSales[[#This Row],[SaleDate]],2)</f>
        <v>1</v>
      </c>
    </row>
    <row r="73" spans="1:23" x14ac:dyDescent="0.45">
      <c r="A73" t="s">
        <v>280</v>
      </c>
      <c r="B73" t="s">
        <v>281</v>
      </c>
      <c r="C73" t="s">
        <v>282</v>
      </c>
      <c r="D73" t="s">
        <v>283</v>
      </c>
      <c r="E73" t="s">
        <v>284</v>
      </c>
      <c r="F73" t="s">
        <v>197</v>
      </c>
      <c r="G73">
        <v>2</v>
      </c>
      <c r="H73">
        <v>28</v>
      </c>
      <c r="I73">
        <v>0</v>
      </c>
      <c r="J73" t="s">
        <v>60</v>
      </c>
      <c r="K73" t="s">
        <v>157</v>
      </c>
      <c r="L73">
        <f>(tblSales[[#This Row],[Quantity]]*tblSales[[#This Row],[UnitPrice]])-tblSales[[#This Row],[Discount]]</f>
        <v>56</v>
      </c>
      <c r="M73" s="3" t="str">
        <f>TEXT(tblSales[[#This Row],[SaleDate]],"mmm")</f>
        <v>Apr</v>
      </c>
      <c r="N73">
        <f>HOUR(tblSales[[#This Row],[SaleTime]])</f>
        <v>19</v>
      </c>
      <c r="O73" s="3" t="str">
        <f>TEXT(tblSales[[#This Row],[SaleDate]],"ddd")</f>
        <v>Wed</v>
      </c>
      <c r="P73" t="s">
        <v>105</v>
      </c>
      <c r="Q73" t="s">
        <v>198</v>
      </c>
      <c r="R73" t="s">
        <v>63</v>
      </c>
      <c r="S73">
        <v>12</v>
      </c>
      <c r="T73">
        <f>tblSales[[#This Row],[Quantity]]*tblSales[[#This Row],[CostPrice]]</f>
        <v>24</v>
      </c>
      <c r="U73">
        <f>tblSales[[#This Row],[LineTotal]]-tblSales[[#This Row],[LineCost]]</f>
        <v>32</v>
      </c>
      <c r="V73" s="1">
        <f>IF(tblSales[[#This Row],[LineTotal]]=0,0,tblSales[[#This Row],[GrossProfit]]/tblSales[[#This Row],[LineTotal]])</f>
        <v>0.5714285714285714</v>
      </c>
      <c r="W73" s="2">
        <f>WEEKDAY(tblSales[[#This Row],[SaleDate]],2)</f>
        <v>3</v>
      </c>
    </row>
    <row r="74" spans="1:23" x14ac:dyDescent="0.45">
      <c r="A74" t="s">
        <v>285</v>
      </c>
      <c r="B74" t="s">
        <v>281</v>
      </c>
      <c r="C74" t="s">
        <v>282</v>
      </c>
      <c r="D74" t="s">
        <v>283</v>
      </c>
      <c r="E74" t="s">
        <v>284</v>
      </c>
      <c r="F74" t="s">
        <v>111</v>
      </c>
      <c r="G74">
        <v>1</v>
      </c>
      <c r="H74">
        <v>12</v>
      </c>
      <c r="I74">
        <v>0</v>
      </c>
      <c r="J74" t="s">
        <v>60</v>
      </c>
      <c r="K74" t="s">
        <v>157</v>
      </c>
      <c r="L74">
        <f>(tblSales[[#This Row],[Quantity]]*tblSales[[#This Row],[UnitPrice]])-tblSales[[#This Row],[Discount]]</f>
        <v>12</v>
      </c>
      <c r="M74" s="3" t="str">
        <f>TEXT(tblSales[[#This Row],[SaleDate]],"mmm")</f>
        <v>Apr</v>
      </c>
      <c r="N74">
        <f>HOUR(tblSales[[#This Row],[SaleTime]])</f>
        <v>19</v>
      </c>
      <c r="O74" s="3" t="str">
        <f>TEXT(tblSales[[#This Row],[SaleDate]],"ddd")</f>
        <v>Wed</v>
      </c>
      <c r="P74" t="s">
        <v>31</v>
      </c>
      <c r="Q74" t="s">
        <v>112</v>
      </c>
      <c r="R74" t="s">
        <v>63</v>
      </c>
      <c r="S74">
        <v>5</v>
      </c>
      <c r="T74">
        <f>tblSales[[#This Row],[Quantity]]*tblSales[[#This Row],[CostPrice]]</f>
        <v>5</v>
      </c>
      <c r="U74">
        <f>tblSales[[#This Row],[LineTotal]]-tblSales[[#This Row],[LineCost]]</f>
        <v>7</v>
      </c>
      <c r="V74" s="1">
        <f>IF(tblSales[[#This Row],[LineTotal]]=0,0,tblSales[[#This Row],[GrossProfit]]/tblSales[[#This Row],[LineTotal]])</f>
        <v>0.58333333333333337</v>
      </c>
      <c r="W74" s="2">
        <f>WEEKDAY(tblSales[[#This Row],[SaleDate]],2)</f>
        <v>3</v>
      </c>
    </row>
    <row r="75" spans="1:23" x14ac:dyDescent="0.45">
      <c r="A75" t="s">
        <v>286</v>
      </c>
      <c r="B75" t="s">
        <v>287</v>
      </c>
      <c r="C75" t="s">
        <v>282</v>
      </c>
      <c r="D75" t="s">
        <v>288</v>
      </c>
      <c r="E75" t="s">
        <v>228</v>
      </c>
      <c r="F75" t="s">
        <v>59</v>
      </c>
      <c r="G75">
        <v>1</v>
      </c>
      <c r="H75">
        <v>35</v>
      </c>
      <c r="I75">
        <v>0</v>
      </c>
      <c r="J75" t="s">
        <v>29</v>
      </c>
      <c r="K75" t="s">
        <v>30</v>
      </c>
      <c r="L75">
        <f>(tblSales[[#This Row],[Quantity]]*tblSales[[#This Row],[UnitPrice]])-tblSales[[#This Row],[Discount]]</f>
        <v>35</v>
      </c>
      <c r="M75" s="3" t="str">
        <f>TEXT(tblSales[[#This Row],[SaleDate]],"mmm")</f>
        <v>Apr</v>
      </c>
      <c r="N75">
        <f>HOUR(tblSales[[#This Row],[SaleTime]])</f>
        <v>14</v>
      </c>
      <c r="O75" s="3" t="str">
        <f>TEXT(tblSales[[#This Row],[SaleDate]],"ddd")</f>
        <v>Wed</v>
      </c>
      <c r="P75" t="s">
        <v>61</v>
      </c>
      <c r="Q75" t="s">
        <v>62</v>
      </c>
      <c r="R75" t="s">
        <v>33</v>
      </c>
      <c r="S75">
        <v>18</v>
      </c>
      <c r="T75">
        <f>tblSales[[#This Row],[Quantity]]*tblSales[[#This Row],[CostPrice]]</f>
        <v>18</v>
      </c>
      <c r="U75">
        <f>tblSales[[#This Row],[LineTotal]]-tblSales[[#This Row],[LineCost]]</f>
        <v>17</v>
      </c>
      <c r="V75" s="1">
        <f>IF(tblSales[[#This Row],[LineTotal]]=0,0,tblSales[[#This Row],[GrossProfit]]/tblSales[[#This Row],[LineTotal]])</f>
        <v>0.48571428571428571</v>
      </c>
      <c r="W75" s="2">
        <f>WEEKDAY(tblSales[[#This Row],[SaleDate]],2)</f>
        <v>3</v>
      </c>
    </row>
    <row r="76" spans="1:23" x14ac:dyDescent="0.45">
      <c r="A76" t="s">
        <v>289</v>
      </c>
      <c r="B76" t="s">
        <v>287</v>
      </c>
      <c r="C76" t="s">
        <v>282</v>
      </c>
      <c r="D76" t="s">
        <v>288</v>
      </c>
      <c r="E76" t="s">
        <v>228</v>
      </c>
      <c r="F76" t="s">
        <v>49</v>
      </c>
      <c r="G76">
        <v>2</v>
      </c>
      <c r="H76">
        <v>62</v>
      </c>
      <c r="I76">
        <v>0</v>
      </c>
      <c r="J76" t="s">
        <v>29</v>
      </c>
      <c r="K76" t="s">
        <v>30</v>
      </c>
      <c r="L76">
        <f>(tblSales[[#This Row],[Quantity]]*tblSales[[#This Row],[UnitPrice]])-tblSales[[#This Row],[Discount]]</f>
        <v>124</v>
      </c>
      <c r="M76" s="3" t="str">
        <f>TEXT(tblSales[[#This Row],[SaleDate]],"mmm")</f>
        <v>Apr</v>
      </c>
      <c r="N76">
        <f>HOUR(tblSales[[#This Row],[SaleTime]])</f>
        <v>14</v>
      </c>
      <c r="O76" s="3" t="str">
        <f>TEXT(tblSales[[#This Row],[SaleDate]],"ddd")</f>
        <v>Wed</v>
      </c>
      <c r="P76" t="s">
        <v>51</v>
      </c>
      <c r="Q76" t="s">
        <v>52</v>
      </c>
      <c r="R76" t="s">
        <v>33</v>
      </c>
      <c r="S76">
        <v>34</v>
      </c>
      <c r="T76">
        <f>tblSales[[#This Row],[Quantity]]*tblSales[[#This Row],[CostPrice]]</f>
        <v>68</v>
      </c>
      <c r="U76">
        <f>tblSales[[#This Row],[LineTotal]]-tblSales[[#This Row],[LineCost]]</f>
        <v>56</v>
      </c>
      <c r="V76" s="1">
        <f>IF(tblSales[[#This Row],[LineTotal]]=0,0,tblSales[[#This Row],[GrossProfit]]/tblSales[[#This Row],[LineTotal]])</f>
        <v>0.45161290322580644</v>
      </c>
      <c r="W76" s="2">
        <f>WEEKDAY(tblSales[[#This Row],[SaleDate]],2)</f>
        <v>3</v>
      </c>
    </row>
    <row r="77" spans="1:23" x14ac:dyDescent="0.45">
      <c r="A77" t="s">
        <v>290</v>
      </c>
      <c r="B77" t="s">
        <v>291</v>
      </c>
      <c r="C77" t="s">
        <v>282</v>
      </c>
      <c r="D77" t="s">
        <v>292</v>
      </c>
      <c r="E77" t="s">
        <v>121</v>
      </c>
      <c r="F77" t="s">
        <v>97</v>
      </c>
      <c r="G77">
        <v>1</v>
      </c>
      <c r="H77">
        <v>60</v>
      </c>
      <c r="I77">
        <v>0</v>
      </c>
      <c r="J77" t="s">
        <v>60</v>
      </c>
      <c r="K77" t="s">
        <v>30</v>
      </c>
      <c r="L77">
        <f>(tblSales[[#This Row],[Quantity]]*tblSales[[#This Row],[UnitPrice]])-tblSales[[#This Row],[Discount]]</f>
        <v>60</v>
      </c>
      <c r="M77" s="3" t="str">
        <f>TEXT(tblSales[[#This Row],[SaleDate]],"mmm")</f>
        <v>Apr</v>
      </c>
      <c r="N77">
        <f>HOUR(tblSales[[#This Row],[SaleTime]])</f>
        <v>12</v>
      </c>
      <c r="O77" s="3" t="str">
        <f>TEXT(tblSales[[#This Row],[SaleDate]],"ddd")</f>
        <v>Wed</v>
      </c>
      <c r="P77" t="s">
        <v>79</v>
      </c>
      <c r="Q77" t="s">
        <v>98</v>
      </c>
      <c r="R77" t="s">
        <v>63</v>
      </c>
      <c r="S77">
        <v>32</v>
      </c>
      <c r="T77">
        <f>tblSales[[#This Row],[Quantity]]*tblSales[[#This Row],[CostPrice]]</f>
        <v>32</v>
      </c>
      <c r="U77">
        <f>tblSales[[#This Row],[LineTotal]]-tblSales[[#This Row],[LineCost]]</f>
        <v>28</v>
      </c>
      <c r="V77" s="1">
        <f>IF(tblSales[[#This Row],[LineTotal]]=0,0,tblSales[[#This Row],[GrossProfit]]/tblSales[[#This Row],[LineTotal]])</f>
        <v>0.46666666666666667</v>
      </c>
      <c r="W77" s="2">
        <f>WEEKDAY(tblSales[[#This Row],[SaleDate]],2)</f>
        <v>3</v>
      </c>
    </row>
    <row r="78" spans="1:23" x14ac:dyDescent="0.45">
      <c r="A78" t="s">
        <v>293</v>
      </c>
      <c r="B78" t="s">
        <v>294</v>
      </c>
      <c r="C78" t="s">
        <v>295</v>
      </c>
      <c r="D78" t="s">
        <v>296</v>
      </c>
      <c r="E78" t="s">
        <v>213</v>
      </c>
      <c r="F78" t="s">
        <v>49</v>
      </c>
      <c r="G78">
        <v>2</v>
      </c>
      <c r="H78">
        <v>62</v>
      </c>
      <c r="I78">
        <v>0</v>
      </c>
      <c r="J78" t="s">
        <v>60</v>
      </c>
      <c r="K78" t="s">
        <v>30</v>
      </c>
      <c r="L78">
        <f>(tblSales[[#This Row],[Quantity]]*tblSales[[#This Row],[UnitPrice]])-tblSales[[#This Row],[Discount]]</f>
        <v>124</v>
      </c>
      <c r="M78" s="3" t="str">
        <f>TEXT(tblSales[[#This Row],[SaleDate]],"mmm")</f>
        <v>Apr</v>
      </c>
      <c r="N78">
        <f>HOUR(tblSales[[#This Row],[SaleTime]])</f>
        <v>20</v>
      </c>
      <c r="O78" s="3" t="str">
        <f>TEXT(tblSales[[#This Row],[SaleDate]],"ddd")</f>
        <v>Fri</v>
      </c>
      <c r="P78" t="s">
        <v>51</v>
      </c>
      <c r="Q78" t="s">
        <v>52</v>
      </c>
      <c r="R78" t="s">
        <v>63</v>
      </c>
      <c r="S78">
        <v>34</v>
      </c>
      <c r="T78">
        <f>tblSales[[#This Row],[Quantity]]*tblSales[[#This Row],[CostPrice]]</f>
        <v>68</v>
      </c>
      <c r="U78">
        <f>tblSales[[#This Row],[LineTotal]]-tblSales[[#This Row],[LineCost]]</f>
        <v>56</v>
      </c>
      <c r="V78" s="1">
        <f>IF(tblSales[[#This Row],[LineTotal]]=0,0,tblSales[[#This Row],[GrossProfit]]/tblSales[[#This Row],[LineTotal]])</f>
        <v>0.45161290322580644</v>
      </c>
      <c r="W78" s="2">
        <f>WEEKDAY(tblSales[[#This Row],[SaleDate]],2)</f>
        <v>5</v>
      </c>
    </row>
    <row r="79" spans="1:23" x14ac:dyDescent="0.45">
      <c r="A79" t="s">
        <v>297</v>
      </c>
      <c r="B79" t="s">
        <v>298</v>
      </c>
      <c r="C79" t="s">
        <v>295</v>
      </c>
      <c r="D79" t="s">
        <v>299</v>
      </c>
      <c r="E79" t="s">
        <v>48</v>
      </c>
      <c r="F79" t="s">
        <v>28</v>
      </c>
      <c r="G79">
        <v>1</v>
      </c>
      <c r="H79">
        <v>12</v>
      </c>
      <c r="I79">
        <v>0</v>
      </c>
      <c r="J79" t="s">
        <v>60</v>
      </c>
      <c r="K79" t="s">
        <v>30</v>
      </c>
      <c r="L79">
        <f>(tblSales[[#This Row],[Quantity]]*tblSales[[#This Row],[UnitPrice]])-tblSales[[#This Row],[Discount]]</f>
        <v>12</v>
      </c>
      <c r="M79" s="3" t="str">
        <f>TEXT(tblSales[[#This Row],[SaleDate]],"mmm")</f>
        <v>Apr</v>
      </c>
      <c r="N79">
        <f>HOUR(tblSales[[#This Row],[SaleTime]])</f>
        <v>13</v>
      </c>
      <c r="O79" s="3" t="str">
        <f>TEXT(tblSales[[#This Row],[SaleDate]],"ddd")</f>
        <v>Fri</v>
      </c>
      <c r="P79" t="s">
        <v>31</v>
      </c>
      <c r="Q79" t="s">
        <v>32</v>
      </c>
      <c r="R79" t="s">
        <v>63</v>
      </c>
      <c r="S79">
        <v>3</v>
      </c>
      <c r="T79">
        <f>tblSales[[#This Row],[Quantity]]*tblSales[[#This Row],[CostPrice]]</f>
        <v>3</v>
      </c>
      <c r="U79">
        <f>tblSales[[#This Row],[LineTotal]]-tblSales[[#This Row],[LineCost]]</f>
        <v>9</v>
      </c>
      <c r="V79" s="1">
        <f>IF(tblSales[[#This Row],[LineTotal]]=0,0,tblSales[[#This Row],[GrossProfit]]/tblSales[[#This Row],[LineTotal]])</f>
        <v>0.75</v>
      </c>
      <c r="W79" s="2">
        <f>WEEKDAY(tblSales[[#This Row],[SaleDate]],2)</f>
        <v>5</v>
      </c>
    </row>
    <row r="80" spans="1:23" x14ac:dyDescent="0.45">
      <c r="A80" t="s">
        <v>300</v>
      </c>
      <c r="B80" t="s">
        <v>301</v>
      </c>
      <c r="C80" t="s">
        <v>302</v>
      </c>
      <c r="D80" t="s">
        <v>303</v>
      </c>
      <c r="E80" t="s">
        <v>48</v>
      </c>
      <c r="F80" t="s">
        <v>78</v>
      </c>
      <c r="G80">
        <v>1</v>
      </c>
      <c r="H80">
        <v>72</v>
      </c>
      <c r="I80">
        <v>0</v>
      </c>
      <c r="J80" t="s">
        <v>50</v>
      </c>
      <c r="K80" t="s">
        <v>30</v>
      </c>
      <c r="L80">
        <f>(tblSales[[#This Row],[Quantity]]*tblSales[[#This Row],[UnitPrice]])-tblSales[[#This Row],[Discount]]</f>
        <v>72</v>
      </c>
      <c r="M80" s="3" t="str">
        <f>TEXT(tblSales[[#This Row],[SaleDate]],"mmm")</f>
        <v>Apr</v>
      </c>
      <c r="N80">
        <f>HOUR(tblSales[[#This Row],[SaleTime]])</f>
        <v>21</v>
      </c>
      <c r="O80" s="3" t="str">
        <f>TEXT(tblSales[[#This Row],[SaleDate]],"ddd")</f>
        <v>Sun</v>
      </c>
      <c r="P80" t="s">
        <v>79</v>
      </c>
      <c r="Q80" t="s">
        <v>80</v>
      </c>
      <c r="R80" t="s">
        <v>53</v>
      </c>
      <c r="S80">
        <v>38</v>
      </c>
      <c r="T80">
        <f>tblSales[[#This Row],[Quantity]]*tblSales[[#This Row],[CostPrice]]</f>
        <v>38</v>
      </c>
      <c r="U80">
        <f>tblSales[[#This Row],[LineTotal]]-tblSales[[#This Row],[LineCost]]</f>
        <v>34</v>
      </c>
      <c r="V80" s="1">
        <f>IF(tblSales[[#This Row],[LineTotal]]=0,0,tblSales[[#This Row],[GrossProfit]]/tblSales[[#This Row],[LineTotal]])</f>
        <v>0.47222222222222221</v>
      </c>
      <c r="W80" s="2">
        <f>WEEKDAY(tblSales[[#This Row],[SaleDate]],2)</f>
        <v>7</v>
      </c>
    </row>
    <row r="81" spans="1:23" x14ac:dyDescent="0.45">
      <c r="A81" t="s">
        <v>304</v>
      </c>
      <c r="B81" t="s">
        <v>301</v>
      </c>
      <c r="C81" t="s">
        <v>302</v>
      </c>
      <c r="D81" t="s">
        <v>303</v>
      </c>
      <c r="E81" t="s">
        <v>48</v>
      </c>
      <c r="F81" t="s">
        <v>197</v>
      </c>
      <c r="G81">
        <v>1</v>
      </c>
      <c r="H81">
        <v>28</v>
      </c>
      <c r="I81">
        <v>0</v>
      </c>
      <c r="J81" t="s">
        <v>50</v>
      </c>
      <c r="K81" t="s">
        <v>30</v>
      </c>
      <c r="L81">
        <f>(tblSales[[#This Row],[Quantity]]*tblSales[[#This Row],[UnitPrice]])-tblSales[[#This Row],[Discount]]</f>
        <v>28</v>
      </c>
      <c r="M81" s="3" t="str">
        <f>TEXT(tblSales[[#This Row],[SaleDate]],"mmm")</f>
        <v>Apr</v>
      </c>
      <c r="N81">
        <f>HOUR(tblSales[[#This Row],[SaleTime]])</f>
        <v>21</v>
      </c>
      <c r="O81" s="3" t="str">
        <f>TEXT(tblSales[[#This Row],[SaleDate]],"ddd")</f>
        <v>Sun</v>
      </c>
      <c r="P81" t="s">
        <v>105</v>
      </c>
      <c r="Q81" t="s">
        <v>198</v>
      </c>
      <c r="R81" t="s">
        <v>53</v>
      </c>
      <c r="S81">
        <v>12</v>
      </c>
      <c r="T81">
        <f>tblSales[[#This Row],[Quantity]]*tblSales[[#This Row],[CostPrice]]</f>
        <v>12</v>
      </c>
      <c r="U81">
        <f>tblSales[[#This Row],[LineTotal]]-tblSales[[#This Row],[LineCost]]</f>
        <v>16</v>
      </c>
      <c r="V81" s="1">
        <f>IF(tblSales[[#This Row],[LineTotal]]=0,0,tblSales[[#This Row],[GrossProfit]]/tblSales[[#This Row],[LineTotal]])</f>
        <v>0.5714285714285714</v>
      </c>
      <c r="W81" s="2">
        <f>WEEKDAY(tblSales[[#This Row],[SaleDate]],2)</f>
        <v>7</v>
      </c>
    </row>
    <row r="82" spans="1:23" x14ac:dyDescent="0.45">
      <c r="A82" t="s">
        <v>305</v>
      </c>
      <c r="B82" t="s">
        <v>306</v>
      </c>
      <c r="C82" t="s">
        <v>307</v>
      </c>
      <c r="D82" t="s">
        <v>308</v>
      </c>
      <c r="F82" t="s">
        <v>108</v>
      </c>
      <c r="G82">
        <v>1</v>
      </c>
      <c r="H82">
        <v>8</v>
      </c>
      <c r="I82">
        <v>10</v>
      </c>
      <c r="J82" t="s">
        <v>60</v>
      </c>
      <c r="K82" t="s">
        <v>86</v>
      </c>
      <c r="L82">
        <f>(tblSales[[#This Row],[Quantity]]*tblSales[[#This Row],[UnitPrice]])-tblSales[[#This Row],[Discount]]</f>
        <v>-2</v>
      </c>
      <c r="M82" s="3" t="str">
        <f>TEXT(tblSales[[#This Row],[SaleDate]],"mmm")</f>
        <v>Apr</v>
      </c>
      <c r="N82">
        <f>HOUR(tblSales[[#This Row],[SaleTime]])</f>
        <v>22</v>
      </c>
      <c r="O82" s="3" t="str">
        <f>TEXT(tblSales[[#This Row],[SaleDate]],"ddd")</f>
        <v>Mon</v>
      </c>
      <c r="P82" t="s">
        <v>31</v>
      </c>
      <c r="Q82" t="s">
        <v>109</v>
      </c>
      <c r="R82" t="s">
        <v>63</v>
      </c>
      <c r="S82">
        <v>2</v>
      </c>
      <c r="T82">
        <f>tblSales[[#This Row],[Quantity]]*tblSales[[#This Row],[CostPrice]]</f>
        <v>2</v>
      </c>
      <c r="U82">
        <f>tblSales[[#This Row],[LineTotal]]-tblSales[[#This Row],[LineCost]]</f>
        <v>-4</v>
      </c>
      <c r="V82" s="1">
        <f>IF(tblSales[[#This Row],[LineTotal]]=0,0,tblSales[[#This Row],[GrossProfit]]/tblSales[[#This Row],[LineTotal]])</f>
        <v>2</v>
      </c>
      <c r="W82" s="2">
        <f>WEEKDAY(tblSales[[#This Row],[SaleDate]],2)</f>
        <v>1</v>
      </c>
    </row>
    <row r="83" spans="1:23" x14ac:dyDescent="0.45">
      <c r="A83" t="s">
        <v>309</v>
      </c>
      <c r="B83" t="s">
        <v>310</v>
      </c>
      <c r="C83" t="s">
        <v>311</v>
      </c>
      <c r="D83" t="s">
        <v>312</v>
      </c>
      <c r="F83" t="s">
        <v>140</v>
      </c>
      <c r="G83">
        <v>2</v>
      </c>
      <c r="H83">
        <v>22</v>
      </c>
      <c r="I83">
        <v>15</v>
      </c>
      <c r="J83" t="s">
        <v>60</v>
      </c>
      <c r="K83" t="s">
        <v>86</v>
      </c>
      <c r="L83">
        <f>(tblSales[[#This Row],[Quantity]]*tblSales[[#This Row],[UnitPrice]])-tblSales[[#This Row],[Discount]]</f>
        <v>29</v>
      </c>
      <c r="M83" s="3" t="str">
        <f>TEXT(tblSales[[#This Row],[SaleDate]],"mmm")</f>
        <v>Apr</v>
      </c>
      <c r="N83">
        <f>HOUR(tblSales[[#This Row],[SaleTime]])</f>
        <v>13</v>
      </c>
      <c r="O83" s="3" t="str">
        <f>TEXT(tblSales[[#This Row],[SaleDate]],"ddd")</f>
        <v>Wed</v>
      </c>
      <c r="P83" t="s">
        <v>124</v>
      </c>
      <c r="Q83" t="s">
        <v>141</v>
      </c>
      <c r="R83" t="s">
        <v>63</v>
      </c>
      <c r="S83">
        <v>10</v>
      </c>
      <c r="T83">
        <f>tblSales[[#This Row],[Quantity]]*tblSales[[#This Row],[CostPrice]]</f>
        <v>20</v>
      </c>
      <c r="U83">
        <f>tblSales[[#This Row],[LineTotal]]-tblSales[[#This Row],[LineCost]]</f>
        <v>9</v>
      </c>
      <c r="V83" s="1">
        <f>IF(tblSales[[#This Row],[LineTotal]]=0,0,tblSales[[#This Row],[GrossProfit]]/tblSales[[#This Row],[LineTotal]])</f>
        <v>0.31034482758620691</v>
      </c>
      <c r="W83" s="2">
        <f>WEEKDAY(tblSales[[#This Row],[SaleDate]],2)</f>
        <v>3</v>
      </c>
    </row>
    <row r="84" spans="1:23" x14ac:dyDescent="0.45">
      <c r="A84" t="s">
        <v>313</v>
      </c>
      <c r="B84" t="s">
        <v>310</v>
      </c>
      <c r="C84" t="s">
        <v>311</v>
      </c>
      <c r="D84" t="s">
        <v>312</v>
      </c>
      <c r="F84" t="s">
        <v>104</v>
      </c>
      <c r="G84">
        <v>2</v>
      </c>
      <c r="H84">
        <v>18</v>
      </c>
      <c r="I84">
        <v>15</v>
      </c>
      <c r="J84" t="s">
        <v>60</v>
      </c>
      <c r="K84" t="s">
        <v>86</v>
      </c>
      <c r="L84">
        <f>(tblSales[[#This Row],[Quantity]]*tblSales[[#This Row],[UnitPrice]])-tblSales[[#This Row],[Discount]]</f>
        <v>21</v>
      </c>
      <c r="M84" s="3" t="str">
        <f>TEXT(tblSales[[#This Row],[SaleDate]],"mmm")</f>
        <v>Apr</v>
      </c>
      <c r="N84">
        <f>HOUR(tblSales[[#This Row],[SaleTime]])</f>
        <v>13</v>
      </c>
      <c r="O84" s="3" t="str">
        <f>TEXT(tblSales[[#This Row],[SaleDate]],"ddd")</f>
        <v>Wed</v>
      </c>
      <c r="P84" t="s">
        <v>105</v>
      </c>
      <c r="Q84" t="s">
        <v>106</v>
      </c>
      <c r="R84" t="s">
        <v>63</v>
      </c>
      <c r="S84">
        <v>8</v>
      </c>
      <c r="T84">
        <f>tblSales[[#This Row],[Quantity]]*tblSales[[#This Row],[CostPrice]]</f>
        <v>16</v>
      </c>
      <c r="U84">
        <f>tblSales[[#This Row],[LineTotal]]-tblSales[[#This Row],[LineCost]]</f>
        <v>5</v>
      </c>
      <c r="V84" s="1">
        <f>IF(tblSales[[#This Row],[LineTotal]]=0,0,tblSales[[#This Row],[GrossProfit]]/tblSales[[#This Row],[LineTotal]])</f>
        <v>0.23809523809523808</v>
      </c>
      <c r="W84" s="2">
        <f>WEEKDAY(tblSales[[#This Row],[SaleDate]],2)</f>
        <v>3</v>
      </c>
    </row>
    <row r="85" spans="1:23" x14ac:dyDescent="0.45">
      <c r="A85" t="s">
        <v>314</v>
      </c>
      <c r="B85" t="s">
        <v>315</v>
      </c>
      <c r="C85" t="s">
        <v>311</v>
      </c>
      <c r="D85" t="s">
        <v>316</v>
      </c>
      <c r="E85" t="s">
        <v>317</v>
      </c>
      <c r="F85" t="s">
        <v>197</v>
      </c>
      <c r="G85">
        <v>1</v>
      </c>
      <c r="H85">
        <v>28</v>
      </c>
      <c r="I85">
        <v>0</v>
      </c>
      <c r="J85" t="s">
        <v>60</v>
      </c>
      <c r="K85" t="s">
        <v>30</v>
      </c>
      <c r="L85">
        <f>(tblSales[[#This Row],[Quantity]]*tblSales[[#This Row],[UnitPrice]])-tblSales[[#This Row],[Discount]]</f>
        <v>28</v>
      </c>
      <c r="M85" s="3" t="str">
        <f>TEXT(tblSales[[#This Row],[SaleDate]],"mmm")</f>
        <v>Apr</v>
      </c>
      <c r="N85">
        <f>HOUR(tblSales[[#This Row],[SaleTime]])</f>
        <v>19</v>
      </c>
      <c r="O85" s="3" t="str">
        <f>TEXT(tblSales[[#This Row],[SaleDate]],"ddd")</f>
        <v>Wed</v>
      </c>
      <c r="P85" t="s">
        <v>105</v>
      </c>
      <c r="Q85" t="s">
        <v>198</v>
      </c>
      <c r="R85" t="s">
        <v>63</v>
      </c>
      <c r="S85">
        <v>12</v>
      </c>
      <c r="T85">
        <f>tblSales[[#This Row],[Quantity]]*tblSales[[#This Row],[CostPrice]]</f>
        <v>12</v>
      </c>
      <c r="U85">
        <f>tblSales[[#This Row],[LineTotal]]-tblSales[[#This Row],[LineCost]]</f>
        <v>16</v>
      </c>
      <c r="V85" s="1">
        <f>IF(tblSales[[#This Row],[LineTotal]]=0,0,tblSales[[#This Row],[GrossProfit]]/tblSales[[#This Row],[LineTotal]])</f>
        <v>0.5714285714285714</v>
      </c>
      <c r="W85" s="2">
        <f>WEEKDAY(tblSales[[#This Row],[SaleDate]],2)</f>
        <v>3</v>
      </c>
    </row>
    <row r="86" spans="1:23" x14ac:dyDescent="0.45">
      <c r="A86" t="s">
        <v>318</v>
      </c>
      <c r="B86" t="s">
        <v>315</v>
      </c>
      <c r="C86" t="s">
        <v>311</v>
      </c>
      <c r="D86" t="s">
        <v>316</v>
      </c>
      <c r="E86" t="s">
        <v>317</v>
      </c>
      <c r="F86" t="s">
        <v>140</v>
      </c>
      <c r="G86">
        <v>2</v>
      </c>
      <c r="H86">
        <v>22</v>
      </c>
      <c r="I86">
        <v>0</v>
      </c>
      <c r="J86" t="s">
        <v>60</v>
      </c>
      <c r="K86" t="s">
        <v>30</v>
      </c>
      <c r="L86">
        <f>(tblSales[[#This Row],[Quantity]]*tblSales[[#This Row],[UnitPrice]])-tblSales[[#This Row],[Discount]]</f>
        <v>44</v>
      </c>
      <c r="M86" s="3" t="str">
        <f>TEXT(tblSales[[#This Row],[SaleDate]],"mmm")</f>
        <v>Apr</v>
      </c>
      <c r="N86">
        <f>HOUR(tblSales[[#This Row],[SaleTime]])</f>
        <v>19</v>
      </c>
      <c r="O86" s="3" t="str">
        <f>TEXT(tblSales[[#This Row],[SaleDate]],"ddd")</f>
        <v>Wed</v>
      </c>
      <c r="P86" t="s">
        <v>124</v>
      </c>
      <c r="Q86" t="s">
        <v>141</v>
      </c>
      <c r="R86" t="s">
        <v>63</v>
      </c>
      <c r="S86">
        <v>10</v>
      </c>
      <c r="T86">
        <f>tblSales[[#This Row],[Quantity]]*tblSales[[#This Row],[CostPrice]]</f>
        <v>20</v>
      </c>
      <c r="U86">
        <f>tblSales[[#This Row],[LineTotal]]-tblSales[[#This Row],[LineCost]]</f>
        <v>24</v>
      </c>
      <c r="V86" s="1">
        <f>IF(tblSales[[#This Row],[LineTotal]]=0,0,tblSales[[#This Row],[GrossProfit]]/tblSales[[#This Row],[LineTotal]])</f>
        <v>0.54545454545454541</v>
      </c>
      <c r="W86" s="2">
        <f>WEEKDAY(tblSales[[#This Row],[SaleDate]],2)</f>
        <v>3</v>
      </c>
    </row>
    <row r="87" spans="1:23" x14ac:dyDescent="0.45">
      <c r="A87" t="s">
        <v>319</v>
      </c>
      <c r="B87" t="s">
        <v>320</v>
      </c>
      <c r="C87" t="s">
        <v>321</v>
      </c>
      <c r="D87" t="s">
        <v>322</v>
      </c>
      <c r="E87" t="s">
        <v>317</v>
      </c>
      <c r="F87" t="s">
        <v>123</v>
      </c>
      <c r="G87">
        <v>2</v>
      </c>
      <c r="H87">
        <v>28</v>
      </c>
      <c r="I87">
        <v>0</v>
      </c>
      <c r="J87" t="s">
        <v>60</v>
      </c>
      <c r="K87" t="s">
        <v>30</v>
      </c>
      <c r="L87">
        <f>(tblSales[[#This Row],[Quantity]]*tblSales[[#This Row],[UnitPrice]])-tblSales[[#This Row],[Discount]]</f>
        <v>56</v>
      </c>
      <c r="M87" s="3" t="str">
        <f>TEXT(tblSales[[#This Row],[SaleDate]],"mmm")</f>
        <v>Apr</v>
      </c>
      <c r="N87">
        <f>HOUR(tblSales[[#This Row],[SaleTime]])</f>
        <v>14</v>
      </c>
      <c r="O87" s="3" t="str">
        <f>TEXT(tblSales[[#This Row],[SaleDate]],"ddd")</f>
        <v>Sat</v>
      </c>
      <c r="P87" t="s">
        <v>124</v>
      </c>
      <c r="Q87" t="s">
        <v>125</v>
      </c>
      <c r="R87" t="s">
        <v>63</v>
      </c>
      <c r="S87">
        <v>12</v>
      </c>
      <c r="T87">
        <f>tblSales[[#This Row],[Quantity]]*tblSales[[#This Row],[CostPrice]]</f>
        <v>24</v>
      </c>
      <c r="U87">
        <f>tblSales[[#This Row],[LineTotal]]-tblSales[[#This Row],[LineCost]]</f>
        <v>32</v>
      </c>
      <c r="V87" s="1">
        <f>IF(tblSales[[#This Row],[LineTotal]]=0,0,tblSales[[#This Row],[GrossProfit]]/tblSales[[#This Row],[LineTotal]])</f>
        <v>0.5714285714285714</v>
      </c>
      <c r="W87" s="2">
        <f>WEEKDAY(tblSales[[#This Row],[SaleDate]],2)</f>
        <v>6</v>
      </c>
    </row>
    <row r="88" spans="1:23" x14ac:dyDescent="0.45">
      <c r="A88" t="s">
        <v>323</v>
      </c>
      <c r="B88" t="s">
        <v>320</v>
      </c>
      <c r="C88" t="s">
        <v>321</v>
      </c>
      <c r="D88" t="s">
        <v>322</v>
      </c>
      <c r="E88" t="s">
        <v>317</v>
      </c>
      <c r="F88" t="s">
        <v>108</v>
      </c>
      <c r="G88">
        <v>1</v>
      </c>
      <c r="H88">
        <v>8</v>
      </c>
      <c r="I88">
        <v>0</v>
      </c>
      <c r="J88" t="s">
        <v>60</v>
      </c>
      <c r="K88" t="s">
        <v>30</v>
      </c>
      <c r="L88">
        <f>(tblSales[[#This Row],[Quantity]]*tblSales[[#This Row],[UnitPrice]])-tblSales[[#This Row],[Discount]]</f>
        <v>8</v>
      </c>
      <c r="M88" s="3" t="str">
        <f>TEXT(tblSales[[#This Row],[SaleDate]],"mmm")</f>
        <v>Apr</v>
      </c>
      <c r="N88">
        <f>HOUR(tblSales[[#This Row],[SaleTime]])</f>
        <v>14</v>
      </c>
      <c r="O88" s="3" t="str">
        <f>TEXT(tblSales[[#This Row],[SaleDate]],"ddd")</f>
        <v>Sat</v>
      </c>
      <c r="P88" t="s">
        <v>31</v>
      </c>
      <c r="Q88" t="s">
        <v>109</v>
      </c>
      <c r="R88" t="s">
        <v>63</v>
      </c>
      <c r="S88">
        <v>2</v>
      </c>
      <c r="T88">
        <f>tblSales[[#This Row],[Quantity]]*tblSales[[#This Row],[CostPrice]]</f>
        <v>2</v>
      </c>
      <c r="U88">
        <f>tblSales[[#This Row],[LineTotal]]-tblSales[[#This Row],[LineCost]]</f>
        <v>6</v>
      </c>
      <c r="V88" s="1">
        <f>IF(tblSales[[#This Row],[LineTotal]]=0,0,tblSales[[#This Row],[GrossProfit]]/tblSales[[#This Row],[LineTotal]])</f>
        <v>0.75</v>
      </c>
      <c r="W88" s="2">
        <f>WEEKDAY(tblSales[[#This Row],[SaleDate]],2)</f>
        <v>6</v>
      </c>
    </row>
    <row r="89" spans="1:23" x14ac:dyDescent="0.45">
      <c r="A89" t="s">
        <v>324</v>
      </c>
      <c r="B89" t="s">
        <v>325</v>
      </c>
      <c r="C89" t="s">
        <v>326</v>
      </c>
      <c r="D89" t="s">
        <v>327</v>
      </c>
      <c r="E89" t="s">
        <v>228</v>
      </c>
      <c r="F89" t="s">
        <v>111</v>
      </c>
      <c r="G89">
        <v>1</v>
      </c>
      <c r="H89">
        <v>12</v>
      </c>
      <c r="I89">
        <v>0</v>
      </c>
      <c r="J89" t="s">
        <v>60</v>
      </c>
      <c r="K89" t="s">
        <v>157</v>
      </c>
      <c r="L89">
        <f>(tblSales[[#This Row],[Quantity]]*tblSales[[#This Row],[UnitPrice]])-tblSales[[#This Row],[Discount]]</f>
        <v>12</v>
      </c>
      <c r="M89" s="3" t="str">
        <f>TEXT(tblSales[[#This Row],[SaleDate]],"mmm")</f>
        <v>Apr</v>
      </c>
      <c r="N89">
        <f>HOUR(tblSales[[#This Row],[SaleTime]])</f>
        <v>21</v>
      </c>
      <c r="O89" s="3" t="str">
        <f>TEXT(tblSales[[#This Row],[SaleDate]],"ddd")</f>
        <v>Thu</v>
      </c>
      <c r="P89" t="s">
        <v>31</v>
      </c>
      <c r="Q89" t="s">
        <v>112</v>
      </c>
      <c r="R89" t="s">
        <v>63</v>
      </c>
      <c r="S89">
        <v>5</v>
      </c>
      <c r="T89">
        <f>tblSales[[#This Row],[Quantity]]*tblSales[[#This Row],[CostPrice]]</f>
        <v>5</v>
      </c>
      <c r="U89">
        <f>tblSales[[#This Row],[LineTotal]]-tblSales[[#This Row],[LineCost]]</f>
        <v>7</v>
      </c>
      <c r="V89" s="1">
        <f>IF(tblSales[[#This Row],[LineTotal]]=0,0,tblSales[[#This Row],[GrossProfit]]/tblSales[[#This Row],[LineTotal]])</f>
        <v>0.58333333333333337</v>
      </c>
      <c r="W89" s="2">
        <f>WEEKDAY(tblSales[[#This Row],[SaleDate]],2)</f>
        <v>4</v>
      </c>
    </row>
    <row r="90" spans="1:23" x14ac:dyDescent="0.45">
      <c r="A90" t="s">
        <v>328</v>
      </c>
      <c r="B90" t="s">
        <v>325</v>
      </c>
      <c r="C90" t="s">
        <v>326</v>
      </c>
      <c r="D90" t="s">
        <v>327</v>
      </c>
      <c r="E90" t="s">
        <v>228</v>
      </c>
      <c r="F90" t="s">
        <v>49</v>
      </c>
      <c r="G90">
        <v>2</v>
      </c>
      <c r="H90">
        <v>62</v>
      </c>
      <c r="I90">
        <v>0</v>
      </c>
      <c r="J90" t="s">
        <v>60</v>
      </c>
      <c r="K90" t="s">
        <v>157</v>
      </c>
      <c r="L90">
        <f>(tblSales[[#This Row],[Quantity]]*tblSales[[#This Row],[UnitPrice]])-tblSales[[#This Row],[Discount]]</f>
        <v>124</v>
      </c>
      <c r="M90" s="3" t="str">
        <f>TEXT(tblSales[[#This Row],[SaleDate]],"mmm")</f>
        <v>Apr</v>
      </c>
      <c r="N90">
        <f>HOUR(tblSales[[#This Row],[SaleTime]])</f>
        <v>21</v>
      </c>
      <c r="O90" s="3" t="str">
        <f>TEXT(tblSales[[#This Row],[SaleDate]],"ddd")</f>
        <v>Thu</v>
      </c>
      <c r="P90" t="s">
        <v>51</v>
      </c>
      <c r="Q90" t="s">
        <v>52</v>
      </c>
      <c r="R90" t="s">
        <v>63</v>
      </c>
      <c r="S90">
        <v>34</v>
      </c>
      <c r="T90">
        <f>tblSales[[#This Row],[Quantity]]*tblSales[[#This Row],[CostPrice]]</f>
        <v>68</v>
      </c>
      <c r="U90">
        <f>tblSales[[#This Row],[LineTotal]]-tblSales[[#This Row],[LineCost]]</f>
        <v>56</v>
      </c>
      <c r="V90" s="1">
        <f>IF(tblSales[[#This Row],[LineTotal]]=0,0,tblSales[[#This Row],[GrossProfit]]/tblSales[[#This Row],[LineTotal]])</f>
        <v>0.45161290322580644</v>
      </c>
      <c r="W90" s="2">
        <f>WEEKDAY(tblSales[[#This Row],[SaleDate]],2)</f>
        <v>4</v>
      </c>
    </row>
    <row r="91" spans="1:23" x14ac:dyDescent="0.45">
      <c r="A91" t="s">
        <v>329</v>
      </c>
      <c r="B91" t="s">
        <v>330</v>
      </c>
      <c r="C91" t="s">
        <v>331</v>
      </c>
      <c r="D91" t="s">
        <v>332</v>
      </c>
      <c r="F91" t="s">
        <v>108</v>
      </c>
      <c r="G91">
        <v>1</v>
      </c>
      <c r="H91">
        <v>8</v>
      </c>
      <c r="I91">
        <v>0</v>
      </c>
      <c r="J91" t="s">
        <v>29</v>
      </c>
      <c r="K91" t="s">
        <v>30</v>
      </c>
      <c r="L91">
        <f>(tblSales[[#This Row],[Quantity]]*tblSales[[#This Row],[UnitPrice]])-tblSales[[#This Row],[Discount]]</f>
        <v>8</v>
      </c>
      <c r="M91" s="3" t="str">
        <f>TEXT(tblSales[[#This Row],[SaleDate]],"mmm")</f>
        <v>Apr</v>
      </c>
      <c r="N91">
        <f>HOUR(tblSales[[#This Row],[SaleTime]])</f>
        <v>22</v>
      </c>
      <c r="O91" s="3" t="str">
        <f>TEXT(tblSales[[#This Row],[SaleDate]],"ddd")</f>
        <v>Fri</v>
      </c>
      <c r="P91" t="s">
        <v>31</v>
      </c>
      <c r="Q91" t="s">
        <v>109</v>
      </c>
      <c r="R91" t="s">
        <v>33</v>
      </c>
      <c r="S91">
        <v>2</v>
      </c>
      <c r="T91">
        <f>tblSales[[#This Row],[Quantity]]*tblSales[[#This Row],[CostPrice]]</f>
        <v>2</v>
      </c>
      <c r="U91">
        <f>tblSales[[#This Row],[LineTotal]]-tblSales[[#This Row],[LineCost]]</f>
        <v>6</v>
      </c>
      <c r="V91" s="1">
        <f>IF(tblSales[[#This Row],[LineTotal]]=0,0,tblSales[[#This Row],[GrossProfit]]/tblSales[[#This Row],[LineTotal]])</f>
        <v>0.75</v>
      </c>
      <c r="W91" s="2">
        <f>WEEKDAY(tblSales[[#This Row],[SaleDate]],2)</f>
        <v>5</v>
      </c>
    </row>
    <row r="92" spans="1:23" x14ac:dyDescent="0.45">
      <c r="A92" t="s">
        <v>333</v>
      </c>
      <c r="B92" t="s">
        <v>334</v>
      </c>
      <c r="C92" t="s">
        <v>335</v>
      </c>
      <c r="D92" t="s">
        <v>336</v>
      </c>
      <c r="F92" t="s">
        <v>42</v>
      </c>
      <c r="G92">
        <v>2</v>
      </c>
      <c r="H92">
        <v>12</v>
      </c>
      <c r="I92">
        <v>0</v>
      </c>
      <c r="J92" t="s">
        <v>60</v>
      </c>
      <c r="K92" t="s">
        <v>86</v>
      </c>
      <c r="L92">
        <f>(tblSales[[#This Row],[Quantity]]*tblSales[[#This Row],[UnitPrice]])-tblSales[[#This Row],[Discount]]</f>
        <v>24</v>
      </c>
      <c r="M92" s="3" t="str">
        <f>TEXT(tblSales[[#This Row],[SaleDate]],"mmm")</f>
        <v>Apr</v>
      </c>
      <c r="N92">
        <f>HOUR(tblSales[[#This Row],[SaleTime]])</f>
        <v>10</v>
      </c>
      <c r="O92" s="3" t="str">
        <f>TEXT(tblSales[[#This Row],[SaleDate]],"ddd")</f>
        <v>Sat</v>
      </c>
      <c r="P92" t="s">
        <v>31</v>
      </c>
      <c r="Q92" t="s">
        <v>43</v>
      </c>
      <c r="R92" t="s">
        <v>63</v>
      </c>
      <c r="S92">
        <v>5</v>
      </c>
      <c r="T92">
        <f>tblSales[[#This Row],[Quantity]]*tblSales[[#This Row],[CostPrice]]</f>
        <v>10</v>
      </c>
      <c r="U92">
        <f>tblSales[[#This Row],[LineTotal]]-tblSales[[#This Row],[LineCost]]</f>
        <v>14</v>
      </c>
      <c r="V92" s="1">
        <f>IF(tblSales[[#This Row],[LineTotal]]=0,0,tblSales[[#This Row],[GrossProfit]]/tblSales[[#This Row],[LineTotal]])</f>
        <v>0.58333333333333337</v>
      </c>
      <c r="W92" s="2">
        <f>WEEKDAY(tblSales[[#This Row],[SaleDate]],2)</f>
        <v>6</v>
      </c>
    </row>
    <row r="93" spans="1:23" x14ac:dyDescent="0.45">
      <c r="A93" t="s">
        <v>337</v>
      </c>
      <c r="B93" t="s">
        <v>338</v>
      </c>
      <c r="C93" t="s">
        <v>335</v>
      </c>
      <c r="D93" t="s">
        <v>296</v>
      </c>
      <c r="E93" t="s">
        <v>339</v>
      </c>
      <c r="F93" t="s">
        <v>140</v>
      </c>
      <c r="G93">
        <v>1</v>
      </c>
      <c r="H93">
        <v>22</v>
      </c>
      <c r="I93">
        <v>0</v>
      </c>
      <c r="J93" t="s">
        <v>29</v>
      </c>
      <c r="K93" t="s">
        <v>86</v>
      </c>
      <c r="L93">
        <f>(tblSales[[#This Row],[Quantity]]*tblSales[[#This Row],[UnitPrice]])-tblSales[[#This Row],[Discount]]</f>
        <v>22</v>
      </c>
      <c r="M93" s="3" t="str">
        <f>TEXT(tblSales[[#This Row],[SaleDate]],"mmm")</f>
        <v>Apr</v>
      </c>
      <c r="N93">
        <f>HOUR(tblSales[[#This Row],[SaleTime]])</f>
        <v>20</v>
      </c>
      <c r="O93" s="3" t="str">
        <f>TEXT(tblSales[[#This Row],[SaleDate]],"ddd")</f>
        <v>Sat</v>
      </c>
      <c r="P93" t="s">
        <v>124</v>
      </c>
      <c r="Q93" t="s">
        <v>141</v>
      </c>
      <c r="R93" t="s">
        <v>33</v>
      </c>
      <c r="S93">
        <v>10</v>
      </c>
      <c r="T93">
        <f>tblSales[[#This Row],[Quantity]]*tblSales[[#This Row],[CostPrice]]</f>
        <v>10</v>
      </c>
      <c r="U93">
        <f>tblSales[[#This Row],[LineTotal]]-tblSales[[#This Row],[LineCost]]</f>
        <v>12</v>
      </c>
      <c r="V93" s="1">
        <f>IF(tblSales[[#This Row],[LineTotal]]=0,0,tblSales[[#This Row],[GrossProfit]]/tblSales[[#This Row],[LineTotal]])</f>
        <v>0.54545454545454541</v>
      </c>
      <c r="W93" s="2">
        <f>WEEKDAY(tblSales[[#This Row],[SaleDate]],2)</f>
        <v>6</v>
      </c>
    </row>
    <row r="94" spans="1:23" x14ac:dyDescent="0.45">
      <c r="A94" t="s">
        <v>340</v>
      </c>
      <c r="B94" t="s">
        <v>338</v>
      </c>
      <c r="C94" t="s">
        <v>335</v>
      </c>
      <c r="D94" t="s">
        <v>296</v>
      </c>
      <c r="E94" t="s">
        <v>339</v>
      </c>
      <c r="F94" t="s">
        <v>111</v>
      </c>
      <c r="G94">
        <v>2</v>
      </c>
      <c r="H94">
        <v>12</v>
      </c>
      <c r="I94">
        <v>0</v>
      </c>
      <c r="J94" t="s">
        <v>29</v>
      </c>
      <c r="K94" t="s">
        <v>86</v>
      </c>
      <c r="L94">
        <f>(tblSales[[#This Row],[Quantity]]*tblSales[[#This Row],[UnitPrice]])-tblSales[[#This Row],[Discount]]</f>
        <v>24</v>
      </c>
      <c r="M94" s="3" t="str">
        <f>TEXT(tblSales[[#This Row],[SaleDate]],"mmm")</f>
        <v>Apr</v>
      </c>
      <c r="N94">
        <f>HOUR(tblSales[[#This Row],[SaleTime]])</f>
        <v>20</v>
      </c>
      <c r="O94" s="3" t="str">
        <f>TEXT(tblSales[[#This Row],[SaleDate]],"ddd")</f>
        <v>Sat</v>
      </c>
      <c r="P94" t="s">
        <v>31</v>
      </c>
      <c r="Q94" t="s">
        <v>112</v>
      </c>
      <c r="R94" t="s">
        <v>33</v>
      </c>
      <c r="S94">
        <v>5</v>
      </c>
      <c r="T94">
        <f>tblSales[[#This Row],[Quantity]]*tblSales[[#This Row],[CostPrice]]</f>
        <v>10</v>
      </c>
      <c r="U94">
        <f>tblSales[[#This Row],[LineTotal]]-tblSales[[#This Row],[LineCost]]</f>
        <v>14</v>
      </c>
      <c r="V94" s="1">
        <f>IF(tblSales[[#This Row],[LineTotal]]=0,0,tblSales[[#This Row],[GrossProfit]]/tblSales[[#This Row],[LineTotal]])</f>
        <v>0.58333333333333337</v>
      </c>
      <c r="W94" s="2">
        <f>WEEKDAY(tblSales[[#This Row],[SaleDate]],2)</f>
        <v>6</v>
      </c>
    </row>
    <row r="95" spans="1:23" x14ac:dyDescent="0.45">
      <c r="A95" t="s">
        <v>341</v>
      </c>
      <c r="B95" t="s">
        <v>342</v>
      </c>
      <c r="C95" t="s">
        <v>335</v>
      </c>
      <c r="D95" t="s">
        <v>343</v>
      </c>
      <c r="E95" t="s">
        <v>344</v>
      </c>
      <c r="F95" t="s">
        <v>111</v>
      </c>
      <c r="G95">
        <v>2</v>
      </c>
      <c r="H95">
        <v>12</v>
      </c>
      <c r="I95">
        <v>0</v>
      </c>
      <c r="J95" t="s">
        <v>50</v>
      </c>
      <c r="K95" t="s">
        <v>86</v>
      </c>
      <c r="L95">
        <f>(tblSales[[#This Row],[Quantity]]*tblSales[[#This Row],[UnitPrice]])-tblSales[[#This Row],[Discount]]</f>
        <v>24</v>
      </c>
      <c r="M95" s="3" t="str">
        <f>TEXT(tblSales[[#This Row],[SaleDate]],"mmm")</f>
        <v>Apr</v>
      </c>
      <c r="N95">
        <f>HOUR(tblSales[[#This Row],[SaleTime]])</f>
        <v>20</v>
      </c>
      <c r="O95" s="3" t="str">
        <f>TEXT(tblSales[[#This Row],[SaleDate]],"ddd")</f>
        <v>Sat</v>
      </c>
      <c r="P95" t="s">
        <v>31</v>
      </c>
      <c r="Q95" t="s">
        <v>112</v>
      </c>
      <c r="R95" t="s">
        <v>53</v>
      </c>
      <c r="S95">
        <v>5</v>
      </c>
      <c r="T95">
        <f>tblSales[[#This Row],[Quantity]]*tblSales[[#This Row],[CostPrice]]</f>
        <v>10</v>
      </c>
      <c r="U95">
        <f>tblSales[[#This Row],[LineTotal]]-tblSales[[#This Row],[LineCost]]</f>
        <v>14</v>
      </c>
      <c r="V95" s="1">
        <f>IF(tblSales[[#This Row],[LineTotal]]=0,0,tblSales[[#This Row],[GrossProfit]]/tblSales[[#This Row],[LineTotal]])</f>
        <v>0.58333333333333337</v>
      </c>
      <c r="W95" s="2">
        <f>WEEKDAY(tblSales[[#This Row],[SaleDate]],2)</f>
        <v>6</v>
      </c>
    </row>
    <row r="96" spans="1:23" x14ac:dyDescent="0.45">
      <c r="A96" t="s">
        <v>345</v>
      </c>
      <c r="B96" t="s">
        <v>342</v>
      </c>
      <c r="C96" t="s">
        <v>335</v>
      </c>
      <c r="D96" t="s">
        <v>343</v>
      </c>
      <c r="E96" t="s">
        <v>344</v>
      </c>
      <c r="F96" t="s">
        <v>28</v>
      </c>
      <c r="G96">
        <v>2</v>
      </c>
      <c r="H96">
        <v>12</v>
      </c>
      <c r="I96">
        <v>0</v>
      </c>
      <c r="J96" t="s">
        <v>50</v>
      </c>
      <c r="K96" t="s">
        <v>86</v>
      </c>
      <c r="L96">
        <f>(tblSales[[#This Row],[Quantity]]*tblSales[[#This Row],[UnitPrice]])-tblSales[[#This Row],[Discount]]</f>
        <v>24</v>
      </c>
      <c r="M96" s="3" t="str">
        <f>TEXT(tblSales[[#This Row],[SaleDate]],"mmm")</f>
        <v>Apr</v>
      </c>
      <c r="N96">
        <f>HOUR(tblSales[[#This Row],[SaleTime]])</f>
        <v>20</v>
      </c>
      <c r="O96" s="3" t="str">
        <f>TEXT(tblSales[[#This Row],[SaleDate]],"ddd")</f>
        <v>Sat</v>
      </c>
      <c r="P96" t="s">
        <v>31</v>
      </c>
      <c r="Q96" t="s">
        <v>32</v>
      </c>
      <c r="R96" t="s">
        <v>53</v>
      </c>
      <c r="S96">
        <v>3</v>
      </c>
      <c r="T96">
        <f>tblSales[[#This Row],[Quantity]]*tblSales[[#This Row],[CostPrice]]</f>
        <v>6</v>
      </c>
      <c r="U96">
        <f>tblSales[[#This Row],[LineTotal]]-tblSales[[#This Row],[LineCost]]</f>
        <v>18</v>
      </c>
      <c r="V96" s="1">
        <f>IF(tblSales[[#This Row],[LineTotal]]=0,0,tblSales[[#This Row],[GrossProfit]]/tblSales[[#This Row],[LineTotal]])</f>
        <v>0.75</v>
      </c>
      <c r="W96" s="2">
        <f>WEEKDAY(tblSales[[#This Row],[SaleDate]],2)</f>
        <v>6</v>
      </c>
    </row>
    <row r="97" spans="1:23" x14ac:dyDescent="0.45">
      <c r="A97" t="s">
        <v>346</v>
      </c>
      <c r="B97" t="s">
        <v>342</v>
      </c>
      <c r="C97" t="s">
        <v>335</v>
      </c>
      <c r="D97" t="s">
        <v>343</v>
      </c>
      <c r="E97" t="s">
        <v>344</v>
      </c>
      <c r="F97" t="s">
        <v>97</v>
      </c>
      <c r="G97">
        <v>2</v>
      </c>
      <c r="H97">
        <v>60</v>
      </c>
      <c r="I97">
        <v>0</v>
      </c>
      <c r="J97" t="s">
        <v>50</v>
      </c>
      <c r="K97" t="s">
        <v>86</v>
      </c>
      <c r="L97">
        <f>(tblSales[[#This Row],[Quantity]]*tblSales[[#This Row],[UnitPrice]])-tblSales[[#This Row],[Discount]]</f>
        <v>120</v>
      </c>
      <c r="M97" s="3" t="str">
        <f>TEXT(tblSales[[#This Row],[SaleDate]],"mmm")</f>
        <v>Apr</v>
      </c>
      <c r="N97">
        <f>HOUR(tblSales[[#This Row],[SaleTime]])</f>
        <v>20</v>
      </c>
      <c r="O97" s="3" t="str">
        <f>TEXT(tblSales[[#This Row],[SaleDate]],"ddd")</f>
        <v>Sat</v>
      </c>
      <c r="P97" t="s">
        <v>79</v>
      </c>
      <c r="Q97" t="s">
        <v>98</v>
      </c>
      <c r="R97" t="s">
        <v>53</v>
      </c>
      <c r="S97">
        <v>32</v>
      </c>
      <c r="T97">
        <f>tblSales[[#This Row],[Quantity]]*tblSales[[#This Row],[CostPrice]]</f>
        <v>64</v>
      </c>
      <c r="U97">
        <f>tblSales[[#This Row],[LineTotal]]-tblSales[[#This Row],[LineCost]]</f>
        <v>56</v>
      </c>
      <c r="V97" s="1">
        <f>IF(tblSales[[#This Row],[LineTotal]]=0,0,tblSales[[#This Row],[GrossProfit]]/tblSales[[#This Row],[LineTotal]])</f>
        <v>0.46666666666666667</v>
      </c>
      <c r="W97" s="2">
        <f>WEEKDAY(tblSales[[#This Row],[SaleDate]],2)</f>
        <v>6</v>
      </c>
    </row>
    <row r="98" spans="1:23" x14ac:dyDescent="0.45">
      <c r="A98" t="s">
        <v>347</v>
      </c>
      <c r="B98" t="s">
        <v>348</v>
      </c>
      <c r="C98" t="s">
        <v>349</v>
      </c>
      <c r="D98" t="s">
        <v>257</v>
      </c>
      <c r="F98" t="s">
        <v>28</v>
      </c>
      <c r="G98">
        <v>2</v>
      </c>
      <c r="H98">
        <v>12</v>
      </c>
      <c r="I98">
        <v>0</v>
      </c>
      <c r="J98" t="s">
        <v>29</v>
      </c>
      <c r="K98" t="s">
        <v>30</v>
      </c>
      <c r="L98">
        <f>(tblSales[[#This Row],[Quantity]]*tblSales[[#This Row],[UnitPrice]])-tblSales[[#This Row],[Discount]]</f>
        <v>24</v>
      </c>
      <c r="M98" s="3" t="str">
        <f>TEXT(tblSales[[#This Row],[SaleDate]],"mmm")</f>
        <v>Apr</v>
      </c>
      <c r="N98">
        <f>HOUR(tblSales[[#This Row],[SaleTime]])</f>
        <v>13</v>
      </c>
      <c r="O98" s="3" t="str">
        <f>TEXT(tblSales[[#This Row],[SaleDate]],"ddd")</f>
        <v>Mon</v>
      </c>
      <c r="P98" t="s">
        <v>31</v>
      </c>
      <c r="Q98" t="s">
        <v>32</v>
      </c>
      <c r="R98" t="s">
        <v>33</v>
      </c>
      <c r="S98">
        <v>3</v>
      </c>
      <c r="T98">
        <f>tblSales[[#This Row],[Quantity]]*tblSales[[#This Row],[CostPrice]]</f>
        <v>6</v>
      </c>
      <c r="U98">
        <f>tblSales[[#This Row],[LineTotal]]-tblSales[[#This Row],[LineCost]]</f>
        <v>18</v>
      </c>
      <c r="V98" s="1">
        <f>IF(tblSales[[#This Row],[LineTotal]]=0,0,tblSales[[#This Row],[GrossProfit]]/tblSales[[#This Row],[LineTotal]])</f>
        <v>0.75</v>
      </c>
      <c r="W98" s="2">
        <f>WEEKDAY(tblSales[[#This Row],[SaleDate]],2)</f>
        <v>1</v>
      </c>
    </row>
    <row r="99" spans="1:23" x14ac:dyDescent="0.45">
      <c r="A99" t="s">
        <v>350</v>
      </c>
      <c r="B99" t="s">
        <v>348</v>
      </c>
      <c r="C99" t="s">
        <v>349</v>
      </c>
      <c r="D99" t="s">
        <v>257</v>
      </c>
      <c r="F99" t="s">
        <v>78</v>
      </c>
      <c r="G99">
        <v>2</v>
      </c>
      <c r="H99">
        <v>72</v>
      </c>
      <c r="I99">
        <v>0</v>
      </c>
      <c r="J99" t="s">
        <v>29</v>
      </c>
      <c r="K99" t="s">
        <v>30</v>
      </c>
      <c r="L99">
        <f>(tblSales[[#This Row],[Quantity]]*tblSales[[#This Row],[UnitPrice]])-tblSales[[#This Row],[Discount]]</f>
        <v>144</v>
      </c>
      <c r="M99" s="3" t="str">
        <f>TEXT(tblSales[[#This Row],[SaleDate]],"mmm")</f>
        <v>Apr</v>
      </c>
      <c r="N99">
        <f>HOUR(tblSales[[#This Row],[SaleTime]])</f>
        <v>13</v>
      </c>
      <c r="O99" s="3" t="str">
        <f>TEXT(tblSales[[#This Row],[SaleDate]],"ddd")</f>
        <v>Mon</v>
      </c>
      <c r="P99" t="s">
        <v>79</v>
      </c>
      <c r="Q99" t="s">
        <v>80</v>
      </c>
      <c r="R99" t="s">
        <v>33</v>
      </c>
      <c r="S99">
        <v>38</v>
      </c>
      <c r="T99">
        <f>tblSales[[#This Row],[Quantity]]*tblSales[[#This Row],[CostPrice]]</f>
        <v>76</v>
      </c>
      <c r="U99">
        <f>tblSales[[#This Row],[LineTotal]]-tblSales[[#This Row],[LineCost]]</f>
        <v>68</v>
      </c>
      <c r="V99" s="1">
        <f>IF(tblSales[[#This Row],[LineTotal]]=0,0,tblSales[[#This Row],[GrossProfit]]/tblSales[[#This Row],[LineTotal]])</f>
        <v>0.47222222222222221</v>
      </c>
      <c r="W99" s="2">
        <f>WEEKDAY(tblSales[[#This Row],[SaleDate]],2)</f>
        <v>1</v>
      </c>
    </row>
    <row r="100" spans="1:23" x14ac:dyDescent="0.45">
      <c r="A100" t="s">
        <v>351</v>
      </c>
      <c r="B100" t="s">
        <v>352</v>
      </c>
      <c r="C100" t="s">
        <v>353</v>
      </c>
      <c r="D100" t="s">
        <v>354</v>
      </c>
      <c r="E100" t="s">
        <v>48</v>
      </c>
      <c r="F100" t="s">
        <v>42</v>
      </c>
      <c r="G100">
        <v>1</v>
      </c>
      <c r="H100">
        <v>12</v>
      </c>
      <c r="I100">
        <v>0</v>
      </c>
      <c r="J100" t="s">
        <v>50</v>
      </c>
      <c r="K100" t="s">
        <v>86</v>
      </c>
      <c r="L100">
        <f>(tblSales[[#This Row],[Quantity]]*tblSales[[#This Row],[UnitPrice]])-tblSales[[#This Row],[Discount]]</f>
        <v>12</v>
      </c>
      <c r="M100" s="3" t="str">
        <f>TEXT(tblSales[[#This Row],[SaleDate]],"mmm")</f>
        <v>Apr</v>
      </c>
      <c r="N100">
        <f>HOUR(tblSales[[#This Row],[SaleTime]])</f>
        <v>22</v>
      </c>
      <c r="O100" s="3" t="str">
        <f>TEXT(tblSales[[#This Row],[SaleDate]],"ddd")</f>
        <v>Tue</v>
      </c>
      <c r="P100" t="s">
        <v>31</v>
      </c>
      <c r="Q100" t="s">
        <v>43</v>
      </c>
      <c r="R100" t="s">
        <v>53</v>
      </c>
      <c r="S100">
        <v>5</v>
      </c>
      <c r="T100">
        <f>tblSales[[#This Row],[Quantity]]*tblSales[[#This Row],[CostPrice]]</f>
        <v>5</v>
      </c>
      <c r="U100">
        <f>tblSales[[#This Row],[LineTotal]]-tblSales[[#This Row],[LineCost]]</f>
        <v>7</v>
      </c>
      <c r="V100" s="1">
        <f>IF(tblSales[[#This Row],[LineTotal]]=0,0,tblSales[[#This Row],[GrossProfit]]/tblSales[[#This Row],[LineTotal]])</f>
        <v>0.58333333333333337</v>
      </c>
      <c r="W100" s="2">
        <f>WEEKDAY(tblSales[[#This Row],[SaleDate]],2)</f>
        <v>2</v>
      </c>
    </row>
    <row r="101" spans="1:23" x14ac:dyDescent="0.45">
      <c r="A101" t="s">
        <v>355</v>
      </c>
      <c r="B101" t="s">
        <v>352</v>
      </c>
      <c r="C101" t="s">
        <v>353</v>
      </c>
      <c r="D101" t="s">
        <v>354</v>
      </c>
      <c r="E101" t="s">
        <v>48</v>
      </c>
      <c r="F101" t="s">
        <v>59</v>
      </c>
      <c r="G101">
        <v>1</v>
      </c>
      <c r="H101">
        <v>35</v>
      </c>
      <c r="I101">
        <v>0</v>
      </c>
      <c r="J101" t="s">
        <v>50</v>
      </c>
      <c r="K101" t="s">
        <v>86</v>
      </c>
      <c r="L101">
        <f>(tblSales[[#This Row],[Quantity]]*tblSales[[#This Row],[UnitPrice]])-tblSales[[#This Row],[Discount]]</f>
        <v>35</v>
      </c>
      <c r="M101" s="3" t="str">
        <f>TEXT(tblSales[[#This Row],[SaleDate]],"mmm")</f>
        <v>Apr</v>
      </c>
      <c r="N101">
        <f>HOUR(tblSales[[#This Row],[SaleTime]])</f>
        <v>22</v>
      </c>
      <c r="O101" s="3" t="str">
        <f>TEXT(tblSales[[#This Row],[SaleDate]],"ddd")</f>
        <v>Tue</v>
      </c>
      <c r="P101" t="s">
        <v>61</v>
      </c>
      <c r="Q101" t="s">
        <v>62</v>
      </c>
      <c r="R101" t="s">
        <v>53</v>
      </c>
      <c r="S101">
        <v>18</v>
      </c>
      <c r="T101">
        <f>tblSales[[#This Row],[Quantity]]*tblSales[[#This Row],[CostPrice]]</f>
        <v>18</v>
      </c>
      <c r="U101">
        <f>tblSales[[#This Row],[LineTotal]]-tblSales[[#This Row],[LineCost]]</f>
        <v>17</v>
      </c>
      <c r="V101" s="1">
        <f>IF(tblSales[[#This Row],[LineTotal]]=0,0,tblSales[[#This Row],[GrossProfit]]/tblSales[[#This Row],[LineTotal]])</f>
        <v>0.48571428571428571</v>
      </c>
      <c r="W101" s="2">
        <f>WEEKDAY(tblSales[[#This Row],[SaleDate]],2)</f>
        <v>2</v>
      </c>
    </row>
    <row r="102" spans="1:23" x14ac:dyDescent="0.45">
      <c r="A102" t="s">
        <v>356</v>
      </c>
      <c r="B102" t="s">
        <v>357</v>
      </c>
      <c r="C102" t="s">
        <v>358</v>
      </c>
      <c r="D102" t="s">
        <v>359</v>
      </c>
      <c r="F102" t="s">
        <v>70</v>
      </c>
      <c r="G102">
        <v>1</v>
      </c>
      <c r="H102">
        <v>12</v>
      </c>
      <c r="I102">
        <v>5</v>
      </c>
      <c r="J102" t="s">
        <v>60</v>
      </c>
      <c r="K102" t="s">
        <v>86</v>
      </c>
      <c r="L102">
        <f>(tblSales[[#This Row],[Quantity]]*tblSales[[#This Row],[UnitPrice]])-tblSales[[#This Row],[Discount]]</f>
        <v>7</v>
      </c>
      <c r="M102" s="3" t="str">
        <f>TEXT(tblSales[[#This Row],[SaleDate]],"mmm")</f>
        <v>Apr</v>
      </c>
      <c r="N102">
        <f>HOUR(tblSales[[#This Row],[SaleTime]])</f>
        <v>12</v>
      </c>
      <c r="O102" s="3" t="str">
        <f>TEXT(tblSales[[#This Row],[SaleDate]],"ddd")</f>
        <v>Wed</v>
      </c>
      <c r="P102" t="s">
        <v>31</v>
      </c>
      <c r="Q102" t="s">
        <v>71</v>
      </c>
      <c r="R102" t="s">
        <v>63</v>
      </c>
      <c r="S102">
        <v>5</v>
      </c>
      <c r="T102">
        <f>tblSales[[#This Row],[Quantity]]*tblSales[[#This Row],[CostPrice]]</f>
        <v>5</v>
      </c>
      <c r="U102">
        <f>tblSales[[#This Row],[LineTotal]]-tblSales[[#This Row],[LineCost]]</f>
        <v>2</v>
      </c>
      <c r="V102" s="1">
        <f>IF(tblSales[[#This Row],[LineTotal]]=0,0,tblSales[[#This Row],[GrossProfit]]/tblSales[[#This Row],[LineTotal]])</f>
        <v>0.2857142857142857</v>
      </c>
      <c r="W102" s="2">
        <f>WEEKDAY(tblSales[[#This Row],[SaleDate]],2)</f>
        <v>3</v>
      </c>
    </row>
    <row r="103" spans="1:23" x14ac:dyDescent="0.45">
      <c r="A103" t="s">
        <v>360</v>
      </c>
      <c r="B103" t="s">
        <v>357</v>
      </c>
      <c r="C103" t="s">
        <v>358</v>
      </c>
      <c r="D103" t="s">
        <v>359</v>
      </c>
      <c r="F103" t="s">
        <v>140</v>
      </c>
      <c r="G103">
        <v>2</v>
      </c>
      <c r="H103">
        <v>22</v>
      </c>
      <c r="I103">
        <v>5</v>
      </c>
      <c r="J103" t="s">
        <v>60</v>
      </c>
      <c r="K103" t="s">
        <v>86</v>
      </c>
      <c r="L103">
        <f>(tblSales[[#This Row],[Quantity]]*tblSales[[#This Row],[UnitPrice]])-tblSales[[#This Row],[Discount]]</f>
        <v>39</v>
      </c>
      <c r="M103" s="3" t="str">
        <f>TEXT(tblSales[[#This Row],[SaleDate]],"mmm")</f>
        <v>Apr</v>
      </c>
      <c r="N103">
        <f>HOUR(tblSales[[#This Row],[SaleTime]])</f>
        <v>12</v>
      </c>
      <c r="O103" s="3" t="str">
        <f>TEXT(tblSales[[#This Row],[SaleDate]],"ddd")</f>
        <v>Wed</v>
      </c>
      <c r="P103" t="s">
        <v>124</v>
      </c>
      <c r="Q103" t="s">
        <v>141</v>
      </c>
      <c r="R103" t="s">
        <v>63</v>
      </c>
      <c r="S103">
        <v>10</v>
      </c>
      <c r="T103">
        <f>tblSales[[#This Row],[Quantity]]*tblSales[[#This Row],[CostPrice]]</f>
        <v>20</v>
      </c>
      <c r="U103">
        <f>tblSales[[#This Row],[LineTotal]]-tblSales[[#This Row],[LineCost]]</f>
        <v>19</v>
      </c>
      <c r="V103" s="1">
        <f>IF(tblSales[[#This Row],[LineTotal]]=0,0,tblSales[[#This Row],[GrossProfit]]/tblSales[[#This Row],[LineTotal]])</f>
        <v>0.48717948717948717</v>
      </c>
      <c r="W103" s="2">
        <f>WEEKDAY(tblSales[[#This Row],[SaleDate]],2)</f>
        <v>3</v>
      </c>
    </row>
    <row r="104" spans="1:23" x14ac:dyDescent="0.45">
      <c r="A104" t="s">
        <v>361</v>
      </c>
      <c r="B104" t="s">
        <v>362</v>
      </c>
      <c r="C104" t="s">
        <v>363</v>
      </c>
      <c r="D104" t="s">
        <v>364</v>
      </c>
      <c r="E104" t="s">
        <v>77</v>
      </c>
      <c r="F104" t="s">
        <v>140</v>
      </c>
      <c r="G104">
        <v>1</v>
      </c>
      <c r="H104">
        <v>22</v>
      </c>
      <c r="I104">
        <v>0</v>
      </c>
      <c r="J104" t="s">
        <v>50</v>
      </c>
      <c r="K104" t="s">
        <v>86</v>
      </c>
      <c r="L104">
        <f>(tblSales[[#This Row],[Quantity]]*tblSales[[#This Row],[UnitPrice]])-tblSales[[#This Row],[Discount]]</f>
        <v>22</v>
      </c>
      <c r="M104" s="3" t="str">
        <f>TEXT(tblSales[[#This Row],[SaleDate]],"mmm")</f>
        <v>Apr</v>
      </c>
      <c r="N104">
        <f>HOUR(tblSales[[#This Row],[SaleTime]])</f>
        <v>19</v>
      </c>
      <c r="O104" s="3" t="str">
        <f>TEXT(tblSales[[#This Row],[SaleDate]],"ddd")</f>
        <v>Thu</v>
      </c>
      <c r="P104" t="s">
        <v>124</v>
      </c>
      <c r="Q104" t="s">
        <v>141</v>
      </c>
      <c r="R104" t="s">
        <v>53</v>
      </c>
      <c r="S104">
        <v>10</v>
      </c>
      <c r="T104">
        <f>tblSales[[#This Row],[Quantity]]*tblSales[[#This Row],[CostPrice]]</f>
        <v>10</v>
      </c>
      <c r="U104">
        <f>tblSales[[#This Row],[LineTotal]]-tblSales[[#This Row],[LineCost]]</f>
        <v>12</v>
      </c>
      <c r="V104" s="1">
        <f>IF(tblSales[[#This Row],[LineTotal]]=0,0,tblSales[[#This Row],[GrossProfit]]/tblSales[[#This Row],[LineTotal]])</f>
        <v>0.54545454545454541</v>
      </c>
      <c r="W104" s="2">
        <f>WEEKDAY(tblSales[[#This Row],[SaleDate]],2)</f>
        <v>4</v>
      </c>
    </row>
    <row r="105" spans="1:23" x14ac:dyDescent="0.45">
      <c r="A105" t="s">
        <v>365</v>
      </c>
      <c r="B105" t="s">
        <v>366</v>
      </c>
      <c r="C105" t="s">
        <v>367</v>
      </c>
      <c r="D105" t="s">
        <v>368</v>
      </c>
      <c r="E105" t="s">
        <v>148</v>
      </c>
      <c r="F105" t="s">
        <v>38</v>
      </c>
      <c r="G105">
        <v>1</v>
      </c>
      <c r="H105">
        <v>55</v>
      </c>
      <c r="I105">
        <v>0</v>
      </c>
      <c r="J105" t="s">
        <v>60</v>
      </c>
      <c r="K105" t="s">
        <v>30</v>
      </c>
      <c r="L105">
        <f>(tblSales[[#This Row],[Quantity]]*tblSales[[#This Row],[UnitPrice]])-tblSales[[#This Row],[Discount]]</f>
        <v>55</v>
      </c>
      <c r="M105" s="3" t="str">
        <f>TEXT(tblSales[[#This Row],[SaleDate]],"mmm")</f>
        <v>Apr</v>
      </c>
      <c r="N105">
        <f>HOUR(tblSales[[#This Row],[SaleTime]])</f>
        <v>20</v>
      </c>
      <c r="O105" s="3" t="str">
        <f>TEXT(tblSales[[#This Row],[SaleDate]],"ddd")</f>
        <v>Fri</v>
      </c>
      <c r="P105" t="s">
        <v>39</v>
      </c>
      <c r="Q105" t="s">
        <v>40</v>
      </c>
      <c r="R105" t="s">
        <v>63</v>
      </c>
      <c r="S105">
        <v>30</v>
      </c>
      <c r="T105">
        <f>tblSales[[#This Row],[Quantity]]*tblSales[[#This Row],[CostPrice]]</f>
        <v>30</v>
      </c>
      <c r="U105">
        <f>tblSales[[#This Row],[LineTotal]]-tblSales[[#This Row],[LineCost]]</f>
        <v>25</v>
      </c>
      <c r="V105" s="1">
        <f>IF(tblSales[[#This Row],[LineTotal]]=0,0,tblSales[[#This Row],[GrossProfit]]/tblSales[[#This Row],[LineTotal]])</f>
        <v>0.45454545454545453</v>
      </c>
      <c r="W105" s="2">
        <f>WEEKDAY(tblSales[[#This Row],[SaleDate]],2)</f>
        <v>5</v>
      </c>
    </row>
    <row r="106" spans="1:23" x14ac:dyDescent="0.45">
      <c r="A106" t="s">
        <v>369</v>
      </c>
      <c r="B106" t="s">
        <v>366</v>
      </c>
      <c r="C106" t="s">
        <v>367</v>
      </c>
      <c r="D106" t="s">
        <v>368</v>
      </c>
      <c r="E106" t="s">
        <v>148</v>
      </c>
      <c r="F106" t="s">
        <v>104</v>
      </c>
      <c r="G106">
        <v>1</v>
      </c>
      <c r="H106">
        <v>18</v>
      </c>
      <c r="I106">
        <v>0</v>
      </c>
      <c r="J106" t="s">
        <v>60</v>
      </c>
      <c r="K106" t="s">
        <v>30</v>
      </c>
      <c r="L106">
        <f>(tblSales[[#This Row],[Quantity]]*tblSales[[#This Row],[UnitPrice]])-tblSales[[#This Row],[Discount]]</f>
        <v>18</v>
      </c>
      <c r="M106" s="3" t="str">
        <f>TEXT(tblSales[[#This Row],[SaleDate]],"mmm")</f>
        <v>Apr</v>
      </c>
      <c r="N106">
        <f>HOUR(tblSales[[#This Row],[SaleTime]])</f>
        <v>20</v>
      </c>
      <c r="O106" s="3" t="str">
        <f>TEXT(tblSales[[#This Row],[SaleDate]],"ddd")</f>
        <v>Fri</v>
      </c>
      <c r="P106" t="s">
        <v>105</v>
      </c>
      <c r="Q106" t="s">
        <v>106</v>
      </c>
      <c r="R106" t="s">
        <v>63</v>
      </c>
      <c r="S106">
        <v>8</v>
      </c>
      <c r="T106">
        <f>tblSales[[#This Row],[Quantity]]*tblSales[[#This Row],[CostPrice]]</f>
        <v>8</v>
      </c>
      <c r="U106">
        <f>tblSales[[#This Row],[LineTotal]]-tblSales[[#This Row],[LineCost]]</f>
        <v>10</v>
      </c>
      <c r="V106" s="1">
        <f>IF(tblSales[[#This Row],[LineTotal]]=0,0,tblSales[[#This Row],[GrossProfit]]/tblSales[[#This Row],[LineTotal]])</f>
        <v>0.55555555555555558</v>
      </c>
      <c r="W106" s="2">
        <f>WEEKDAY(tblSales[[#This Row],[SaleDate]],2)</f>
        <v>5</v>
      </c>
    </row>
    <row r="107" spans="1:23" x14ac:dyDescent="0.45">
      <c r="A107" t="s">
        <v>370</v>
      </c>
      <c r="B107" t="s">
        <v>366</v>
      </c>
      <c r="C107" t="s">
        <v>367</v>
      </c>
      <c r="D107" t="s">
        <v>368</v>
      </c>
      <c r="E107" t="s">
        <v>148</v>
      </c>
      <c r="F107" t="s">
        <v>182</v>
      </c>
      <c r="G107">
        <v>2</v>
      </c>
      <c r="H107">
        <v>15</v>
      </c>
      <c r="I107">
        <v>0</v>
      </c>
      <c r="J107" t="s">
        <v>60</v>
      </c>
      <c r="K107" t="s">
        <v>30</v>
      </c>
      <c r="L107">
        <f>(tblSales[[#This Row],[Quantity]]*tblSales[[#This Row],[UnitPrice]])-tblSales[[#This Row],[Discount]]</f>
        <v>30</v>
      </c>
      <c r="M107" s="3" t="str">
        <f>TEXT(tblSales[[#This Row],[SaleDate]],"mmm")</f>
        <v>Apr</v>
      </c>
      <c r="N107">
        <f>HOUR(tblSales[[#This Row],[SaleTime]])</f>
        <v>20</v>
      </c>
      <c r="O107" s="3" t="str">
        <f>TEXT(tblSales[[#This Row],[SaleDate]],"ddd")</f>
        <v>Fri</v>
      </c>
      <c r="P107" t="s">
        <v>105</v>
      </c>
      <c r="Q107" t="s">
        <v>183</v>
      </c>
      <c r="R107" t="s">
        <v>63</v>
      </c>
      <c r="S107">
        <v>6</v>
      </c>
      <c r="T107">
        <f>tblSales[[#This Row],[Quantity]]*tblSales[[#This Row],[CostPrice]]</f>
        <v>12</v>
      </c>
      <c r="U107">
        <f>tblSales[[#This Row],[LineTotal]]-tblSales[[#This Row],[LineCost]]</f>
        <v>18</v>
      </c>
      <c r="V107" s="1">
        <f>IF(tblSales[[#This Row],[LineTotal]]=0,0,tblSales[[#This Row],[GrossProfit]]/tblSales[[#This Row],[LineTotal]])</f>
        <v>0.6</v>
      </c>
      <c r="W107" s="2">
        <f>WEEKDAY(tblSales[[#This Row],[SaleDate]],2)</f>
        <v>5</v>
      </c>
    </row>
    <row r="108" spans="1:23" x14ac:dyDescent="0.45">
      <c r="A108" t="s">
        <v>371</v>
      </c>
      <c r="B108" t="s">
        <v>372</v>
      </c>
      <c r="C108" t="s">
        <v>373</v>
      </c>
      <c r="D108" t="s">
        <v>57</v>
      </c>
      <c r="E108" t="s">
        <v>37</v>
      </c>
      <c r="F108" t="s">
        <v>182</v>
      </c>
      <c r="G108">
        <v>1</v>
      </c>
      <c r="H108">
        <v>15</v>
      </c>
      <c r="I108">
        <v>0</v>
      </c>
      <c r="J108" t="s">
        <v>50</v>
      </c>
      <c r="K108" t="s">
        <v>30</v>
      </c>
      <c r="L108">
        <f>(tblSales[[#This Row],[Quantity]]*tblSales[[#This Row],[UnitPrice]])-tblSales[[#This Row],[Discount]]</f>
        <v>15</v>
      </c>
      <c r="M108" s="3" t="str">
        <f>TEXT(tblSales[[#This Row],[SaleDate]],"mmm")</f>
        <v>Apr</v>
      </c>
      <c r="N108">
        <f>HOUR(tblSales[[#This Row],[SaleTime]])</f>
        <v>13</v>
      </c>
      <c r="O108" s="3" t="str">
        <f>TEXT(tblSales[[#This Row],[SaleDate]],"ddd")</f>
        <v>Sat</v>
      </c>
      <c r="P108" t="s">
        <v>105</v>
      </c>
      <c r="Q108" t="s">
        <v>183</v>
      </c>
      <c r="R108" t="s">
        <v>53</v>
      </c>
      <c r="S108">
        <v>6</v>
      </c>
      <c r="T108">
        <f>tblSales[[#This Row],[Quantity]]*tblSales[[#This Row],[CostPrice]]</f>
        <v>6</v>
      </c>
      <c r="U108">
        <f>tblSales[[#This Row],[LineTotal]]-tblSales[[#This Row],[LineCost]]</f>
        <v>9</v>
      </c>
      <c r="V108" s="1">
        <f>IF(tblSales[[#This Row],[LineTotal]]=0,0,tblSales[[#This Row],[GrossProfit]]/tblSales[[#This Row],[LineTotal]])</f>
        <v>0.6</v>
      </c>
      <c r="W108" s="2">
        <f>WEEKDAY(tblSales[[#This Row],[SaleDate]],2)</f>
        <v>6</v>
      </c>
    </row>
    <row r="109" spans="1:23" x14ac:dyDescent="0.45">
      <c r="A109" t="s">
        <v>374</v>
      </c>
      <c r="B109" t="s">
        <v>372</v>
      </c>
      <c r="C109" t="s">
        <v>373</v>
      </c>
      <c r="D109" t="s">
        <v>57</v>
      </c>
      <c r="E109" t="s">
        <v>37</v>
      </c>
      <c r="F109" t="s">
        <v>70</v>
      </c>
      <c r="G109">
        <v>1</v>
      </c>
      <c r="H109">
        <v>12</v>
      </c>
      <c r="I109">
        <v>0</v>
      </c>
      <c r="J109" t="s">
        <v>50</v>
      </c>
      <c r="K109" t="s">
        <v>30</v>
      </c>
      <c r="L109">
        <f>(tblSales[[#This Row],[Quantity]]*tblSales[[#This Row],[UnitPrice]])-tblSales[[#This Row],[Discount]]</f>
        <v>12</v>
      </c>
      <c r="M109" s="3" t="str">
        <f>TEXT(tblSales[[#This Row],[SaleDate]],"mmm")</f>
        <v>Apr</v>
      </c>
      <c r="N109">
        <f>HOUR(tblSales[[#This Row],[SaleTime]])</f>
        <v>13</v>
      </c>
      <c r="O109" s="3" t="str">
        <f>TEXT(tblSales[[#This Row],[SaleDate]],"ddd")</f>
        <v>Sat</v>
      </c>
      <c r="P109" t="s">
        <v>31</v>
      </c>
      <c r="Q109" t="s">
        <v>71</v>
      </c>
      <c r="R109" t="s">
        <v>53</v>
      </c>
      <c r="S109">
        <v>5</v>
      </c>
      <c r="T109">
        <f>tblSales[[#This Row],[Quantity]]*tblSales[[#This Row],[CostPrice]]</f>
        <v>5</v>
      </c>
      <c r="U109">
        <f>tblSales[[#This Row],[LineTotal]]-tblSales[[#This Row],[LineCost]]</f>
        <v>7</v>
      </c>
      <c r="V109" s="1">
        <f>IF(tblSales[[#This Row],[LineTotal]]=0,0,tblSales[[#This Row],[GrossProfit]]/tblSales[[#This Row],[LineTotal]])</f>
        <v>0.58333333333333337</v>
      </c>
      <c r="W109" s="2">
        <f>WEEKDAY(tblSales[[#This Row],[SaleDate]],2)</f>
        <v>6</v>
      </c>
    </row>
    <row r="110" spans="1:23" x14ac:dyDescent="0.45">
      <c r="A110" t="s">
        <v>375</v>
      </c>
      <c r="B110" t="s">
        <v>376</v>
      </c>
      <c r="C110" t="s">
        <v>377</v>
      </c>
      <c r="D110" t="s">
        <v>378</v>
      </c>
      <c r="F110" t="s">
        <v>78</v>
      </c>
      <c r="G110">
        <v>2</v>
      </c>
      <c r="H110">
        <v>72</v>
      </c>
      <c r="I110">
        <v>0</v>
      </c>
      <c r="J110" t="s">
        <v>60</v>
      </c>
      <c r="K110" t="s">
        <v>30</v>
      </c>
      <c r="L110">
        <f>(tblSales[[#This Row],[Quantity]]*tblSales[[#This Row],[UnitPrice]])-tblSales[[#This Row],[Discount]]</f>
        <v>144</v>
      </c>
      <c r="M110" s="3" t="str">
        <f>TEXT(tblSales[[#This Row],[SaleDate]],"mmm")</f>
        <v>Apr</v>
      </c>
      <c r="N110">
        <f>HOUR(tblSales[[#This Row],[SaleTime]])</f>
        <v>12</v>
      </c>
      <c r="O110" s="3" t="str">
        <f>TEXT(tblSales[[#This Row],[SaleDate]],"ddd")</f>
        <v>Mon</v>
      </c>
      <c r="P110" t="s">
        <v>79</v>
      </c>
      <c r="Q110" t="s">
        <v>80</v>
      </c>
      <c r="R110" t="s">
        <v>63</v>
      </c>
      <c r="S110">
        <v>38</v>
      </c>
      <c r="T110">
        <f>tblSales[[#This Row],[Quantity]]*tblSales[[#This Row],[CostPrice]]</f>
        <v>76</v>
      </c>
      <c r="U110">
        <f>tblSales[[#This Row],[LineTotal]]-tblSales[[#This Row],[LineCost]]</f>
        <v>68</v>
      </c>
      <c r="V110" s="1">
        <f>IF(tblSales[[#This Row],[LineTotal]]=0,0,tblSales[[#This Row],[GrossProfit]]/tblSales[[#This Row],[LineTotal]])</f>
        <v>0.47222222222222221</v>
      </c>
      <c r="W110" s="2">
        <f>WEEKDAY(tblSales[[#This Row],[SaleDate]],2)</f>
        <v>1</v>
      </c>
    </row>
    <row r="111" spans="1:23" x14ac:dyDescent="0.45">
      <c r="A111" t="s">
        <v>379</v>
      </c>
      <c r="B111" t="s">
        <v>376</v>
      </c>
      <c r="C111" t="s">
        <v>377</v>
      </c>
      <c r="D111" t="s">
        <v>378</v>
      </c>
      <c r="F111" t="s">
        <v>111</v>
      </c>
      <c r="G111">
        <v>1</v>
      </c>
      <c r="H111">
        <v>12</v>
      </c>
      <c r="I111">
        <v>0</v>
      </c>
      <c r="J111" t="s">
        <v>60</v>
      </c>
      <c r="K111" t="s">
        <v>30</v>
      </c>
      <c r="L111">
        <f>(tblSales[[#This Row],[Quantity]]*tblSales[[#This Row],[UnitPrice]])-tblSales[[#This Row],[Discount]]</f>
        <v>12</v>
      </c>
      <c r="M111" s="3" t="str">
        <f>TEXT(tblSales[[#This Row],[SaleDate]],"mmm")</f>
        <v>Apr</v>
      </c>
      <c r="N111">
        <f>HOUR(tblSales[[#This Row],[SaleTime]])</f>
        <v>12</v>
      </c>
      <c r="O111" s="3" t="str">
        <f>TEXT(tblSales[[#This Row],[SaleDate]],"ddd")</f>
        <v>Mon</v>
      </c>
      <c r="P111" t="s">
        <v>31</v>
      </c>
      <c r="Q111" t="s">
        <v>112</v>
      </c>
      <c r="R111" t="s">
        <v>63</v>
      </c>
      <c r="S111">
        <v>5</v>
      </c>
      <c r="T111">
        <f>tblSales[[#This Row],[Quantity]]*tblSales[[#This Row],[CostPrice]]</f>
        <v>5</v>
      </c>
      <c r="U111">
        <f>tblSales[[#This Row],[LineTotal]]-tblSales[[#This Row],[LineCost]]</f>
        <v>7</v>
      </c>
      <c r="V111" s="1">
        <f>IF(tblSales[[#This Row],[LineTotal]]=0,0,tblSales[[#This Row],[GrossProfit]]/tblSales[[#This Row],[LineTotal]])</f>
        <v>0.58333333333333337</v>
      </c>
      <c r="W111" s="2">
        <f>WEEKDAY(tblSales[[#This Row],[SaleDate]],2)</f>
        <v>1</v>
      </c>
    </row>
    <row r="112" spans="1:23" x14ac:dyDescent="0.45">
      <c r="A112" t="s">
        <v>380</v>
      </c>
      <c r="B112" t="s">
        <v>381</v>
      </c>
      <c r="C112" t="s">
        <v>382</v>
      </c>
      <c r="D112" t="s">
        <v>383</v>
      </c>
      <c r="F112" t="s">
        <v>111</v>
      </c>
      <c r="G112">
        <v>2</v>
      </c>
      <c r="H112">
        <v>12</v>
      </c>
      <c r="I112">
        <v>0</v>
      </c>
      <c r="J112" t="s">
        <v>29</v>
      </c>
      <c r="K112" t="s">
        <v>30</v>
      </c>
      <c r="L112">
        <f>(tblSales[[#This Row],[Quantity]]*tblSales[[#This Row],[UnitPrice]])-tblSales[[#This Row],[Discount]]</f>
        <v>24</v>
      </c>
      <c r="M112" s="3" t="str">
        <f>TEXT(tblSales[[#This Row],[SaleDate]],"mmm")</f>
        <v>Apr</v>
      </c>
      <c r="N112">
        <f>HOUR(tblSales[[#This Row],[SaleTime]])</f>
        <v>11</v>
      </c>
      <c r="O112" s="3" t="str">
        <f>TEXT(tblSales[[#This Row],[SaleDate]],"ddd")</f>
        <v>Tue</v>
      </c>
      <c r="P112" t="s">
        <v>31</v>
      </c>
      <c r="Q112" t="s">
        <v>112</v>
      </c>
      <c r="R112" t="s">
        <v>33</v>
      </c>
      <c r="S112">
        <v>5</v>
      </c>
      <c r="T112">
        <f>tblSales[[#This Row],[Quantity]]*tblSales[[#This Row],[CostPrice]]</f>
        <v>10</v>
      </c>
      <c r="U112">
        <f>tblSales[[#This Row],[LineTotal]]-tblSales[[#This Row],[LineCost]]</f>
        <v>14</v>
      </c>
      <c r="V112" s="1">
        <f>IF(tblSales[[#This Row],[LineTotal]]=0,0,tblSales[[#This Row],[GrossProfit]]/tblSales[[#This Row],[LineTotal]])</f>
        <v>0.58333333333333337</v>
      </c>
      <c r="W112" s="2">
        <f>WEEKDAY(tblSales[[#This Row],[SaleDate]],2)</f>
        <v>2</v>
      </c>
    </row>
    <row r="113" spans="1:23" x14ac:dyDescent="0.45">
      <c r="A113" t="s">
        <v>384</v>
      </c>
      <c r="B113" t="s">
        <v>385</v>
      </c>
      <c r="C113" t="s">
        <v>382</v>
      </c>
      <c r="D113" t="s">
        <v>237</v>
      </c>
      <c r="E113" t="s">
        <v>189</v>
      </c>
      <c r="F113" t="s">
        <v>59</v>
      </c>
      <c r="G113">
        <v>1</v>
      </c>
      <c r="H113">
        <v>35</v>
      </c>
      <c r="I113">
        <v>0</v>
      </c>
      <c r="J113" t="s">
        <v>50</v>
      </c>
      <c r="K113" t="s">
        <v>157</v>
      </c>
      <c r="L113">
        <f>(tblSales[[#This Row],[Quantity]]*tblSales[[#This Row],[UnitPrice]])-tblSales[[#This Row],[Discount]]</f>
        <v>35</v>
      </c>
      <c r="M113" s="3" t="str">
        <f>TEXT(tblSales[[#This Row],[SaleDate]],"mmm")</f>
        <v>Apr</v>
      </c>
      <c r="N113">
        <f>HOUR(tblSales[[#This Row],[SaleTime]])</f>
        <v>21</v>
      </c>
      <c r="O113" s="3" t="str">
        <f>TEXT(tblSales[[#This Row],[SaleDate]],"ddd")</f>
        <v>Tue</v>
      </c>
      <c r="P113" t="s">
        <v>61</v>
      </c>
      <c r="Q113" t="s">
        <v>62</v>
      </c>
      <c r="R113" t="s">
        <v>53</v>
      </c>
      <c r="S113">
        <v>18</v>
      </c>
      <c r="T113">
        <f>tblSales[[#This Row],[Quantity]]*tblSales[[#This Row],[CostPrice]]</f>
        <v>18</v>
      </c>
      <c r="U113">
        <f>tblSales[[#This Row],[LineTotal]]-tblSales[[#This Row],[LineCost]]</f>
        <v>17</v>
      </c>
      <c r="V113" s="1">
        <f>IF(tblSales[[#This Row],[LineTotal]]=0,0,tblSales[[#This Row],[GrossProfit]]/tblSales[[#This Row],[LineTotal]])</f>
        <v>0.48571428571428571</v>
      </c>
      <c r="W113" s="2">
        <f>WEEKDAY(tblSales[[#This Row],[SaleDate]],2)</f>
        <v>2</v>
      </c>
    </row>
    <row r="114" spans="1:23" x14ac:dyDescent="0.45">
      <c r="A114" t="s">
        <v>386</v>
      </c>
      <c r="B114" t="s">
        <v>387</v>
      </c>
      <c r="C114" t="s">
        <v>388</v>
      </c>
      <c r="D114" t="s">
        <v>161</v>
      </c>
      <c r="E114" t="s">
        <v>218</v>
      </c>
      <c r="F114" t="s">
        <v>104</v>
      </c>
      <c r="G114">
        <v>1</v>
      </c>
      <c r="H114">
        <v>18</v>
      </c>
      <c r="I114">
        <v>5</v>
      </c>
      <c r="J114" t="s">
        <v>29</v>
      </c>
      <c r="K114" t="s">
        <v>30</v>
      </c>
      <c r="L114">
        <f>(tblSales[[#This Row],[Quantity]]*tblSales[[#This Row],[UnitPrice]])-tblSales[[#This Row],[Discount]]</f>
        <v>13</v>
      </c>
      <c r="M114" s="3" t="str">
        <f>TEXT(tblSales[[#This Row],[SaleDate]],"mmm")</f>
        <v>May</v>
      </c>
      <c r="N114">
        <f>HOUR(tblSales[[#This Row],[SaleTime]])</f>
        <v>12</v>
      </c>
      <c r="O114" s="3" t="str">
        <f>TEXT(tblSales[[#This Row],[SaleDate]],"ddd")</f>
        <v>Fri</v>
      </c>
      <c r="P114" t="s">
        <v>105</v>
      </c>
      <c r="Q114" t="s">
        <v>106</v>
      </c>
      <c r="R114" t="s">
        <v>33</v>
      </c>
      <c r="S114">
        <v>8</v>
      </c>
      <c r="T114">
        <f>tblSales[[#This Row],[Quantity]]*tblSales[[#This Row],[CostPrice]]</f>
        <v>8</v>
      </c>
      <c r="U114">
        <f>tblSales[[#This Row],[LineTotal]]-tblSales[[#This Row],[LineCost]]</f>
        <v>5</v>
      </c>
      <c r="V114" s="1">
        <f>IF(tblSales[[#This Row],[LineTotal]]=0,0,tblSales[[#This Row],[GrossProfit]]/tblSales[[#This Row],[LineTotal]])</f>
        <v>0.38461538461538464</v>
      </c>
      <c r="W114" s="2">
        <f>WEEKDAY(tblSales[[#This Row],[SaleDate]],2)</f>
        <v>5</v>
      </c>
    </row>
    <row r="115" spans="1:23" x14ac:dyDescent="0.45">
      <c r="A115" t="s">
        <v>389</v>
      </c>
      <c r="B115" t="s">
        <v>387</v>
      </c>
      <c r="C115" t="s">
        <v>388</v>
      </c>
      <c r="D115" t="s">
        <v>161</v>
      </c>
      <c r="E115" t="s">
        <v>218</v>
      </c>
      <c r="F115" t="s">
        <v>108</v>
      </c>
      <c r="G115">
        <v>2</v>
      </c>
      <c r="H115">
        <v>8</v>
      </c>
      <c r="I115">
        <v>5</v>
      </c>
      <c r="J115" t="s">
        <v>29</v>
      </c>
      <c r="K115" t="s">
        <v>30</v>
      </c>
      <c r="L115">
        <f>(tblSales[[#This Row],[Quantity]]*tblSales[[#This Row],[UnitPrice]])-tblSales[[#This Row],[Discount]]</f>
        <v>11</v>
      </c>
      <c r="M115" s="3" t="str">
        <f>TEXT(tblSales[[#This Row],[SaleDate]],"mmm")</f>
        <v>May</v>
      </c>
      <c r="N115">
        <f>HOUR(tblSales[[#This Row],[SaleTime]])</f>
        <v>12</v>
      </c>
      <c r="O115" s="3" t="str">
        <f>TEXT(tblSales[[#This Row],[SaleDate]],"ddd")</f>
        <v>Fri</v>
      </c>
      <c r="P115" t="s">
        <v>31</v>
      </c>
      <c r="Q115" t="s">
        <v>109</v>
      </c>
      <c r="R115" t="s">
        <v>33</v>
      </c>
      <c r="S115">
        <v>2</v>
      </c>
      <c r="T115">
        <f>tblSales[[#This Row],[Quantity]]*tblSales[[#This Row],[CostPrice]]</f>
        <v>4</v>
      </c>
      <c r="U115">
        <f>tblSales[[#This Row],[LineTotal]]-tblSales[[#This Row],[LineCost]]</f>
        <v>7</v>
      </c>
      <c r="V115" s="1">
        <f>IF(tblSales[[#This Row],[LineTotal]]=0,0,tblSales[[#This Row],[GrossProfit]]/tblSales[[#This Row],[LineTotal]])</f>
        <v>0.63636363636363635</v>
      </c>
      <c r="W115" s="2">
        <f>WEEKDAY(tblSales[[#This Row],[SaleDate]],2)</f>
        <v>5</v>
      </c>
    </row>
    <row r="116" spans="1:23" x14ac:dyDescent="0.45">
      <c r="A116" t="s">
        <v>390</v>
      </c>
      <c r="B116" t="s">
        <v>391</v>
      </c>
      <c r="C116" t="s">
        <v>388</v>
      </c>
      <c r="D116" t="s">
        <v>392</v>
      </c>
      <c r="F116" t="s">
        <v>197</v>
      </c>
      <c r="G116">
        <v>1</v>
      </c>
      <c r="H116">
        <v>28</v>
      </c>
      <c r="I116">
        <v>5</v>
      </c>
      <c r="J116" t="s">
        <v>50</v>
      </c>
      <c r="K116" t="s">
        <v>30</v>
      </c>
      <c r="L116">
        <f>(tblSales[[#This Row],[Quantity]]*tblSales[[#This Row],[UnitPrice]])-tblSales[[#This Row],[Discount]]</f>
        <v>23</v>
      </c>
      <c r="M116" s="3" t="str">
        <f>TEXT(tblSales[[#This Row],[SaleDate]],"mmm")</f>
        <v>May</v>
      </c>
      <c r="N116">
        <f>HOUR(tblSales[[#This Row],[SaleTime]])</f>
        <v>14</v>
      </c>
      <c r="O116" s="3" t="str">
        <f>TEXT(tblSales[[#This Row],[SaleDate]],"ddd")</f>
        <v>Fri</v>
      </c>
      <c r="P116" t="s">
        <v>105</v>
      </c>
      <c r="Q116" t="s">
        <v>198</v>
      </c>
      <c r="R116" t="s">
        <v>53</v>
      </c>
      <c r="S116">
        <v>12</v>
      </c>
      <c r="T116">
        <f>tblSales[[#This Row],[Quantity]]*tblSales[[#This Row],[CostPrice]]</f>
        <v>12</v>
      </c>
      <c r="U116">
        <f>tblSales[[#This Row],[LineTotal]]-tblSales[[#This Row],[LineCost]]</f>
        <v>11</v>
      </c>
      <c r="V116" s="1">
        <f>IF(tblSales[[#This Row],[LineTotal]]=0,0,tblSales[[#This Row],[GrossProfit]]/tblSales[[#This Row],[LineTotal]])</f>
        <v>0.47826086956521741</v>
      </c>
      <c r="W116" s="2">
        <f>WEEKDAY(tblSales[[#This Row],[SaleDate]],2)</f>
        <v>5</v>
      </c>
    </row>
    <row r="117" spans="1:23" x14ac:dyDescent="0.45">
      <c r="A117" t="s">
        <v>393</v>
      </c>
      <c r="B117" t="s">
        <v>394</v>
      </c>
      <c r="C117" t="s">
        <v>395</v>
      </c>
      <c r="D117" t="s">
        <v>188</v>
      </c>
      <c r="E117" t="s">
        <v>213</v>
      </c>
      <c r="F117" t="s">
        <v>140</v>
      </c>
      <c r="G117">
        <v>2</v>
      </c>
      <c r="H117">
        <v>22</v>
      </c>
      <c r="I117">
        <v>0</v>
      </c>
      <c r="J117" t="s">
        <v>29</v>
      </c>
      <c r="K117" t="s">
        <v>30</v>
      </c>
      <c r="L117">
        <f>(tblSales[[#This Row],[Quantity]]*tblSales[[#This Row],[UnitPrice]])-tblSales[[#This Row],[Discount]]</f>
        <v>44</v>
      </c>
      <c r="M117" s="3" t="str">
        <f>TEXT(tblSales[[#This Row],[SaleDate]],"mmm")</f>
        <v>May</v>
      </c>
      <c r="N117">
        <f>HOUR(tblSales[[#This Row],[SaleTime]])</f>
        <v>19</v>
      </c>
      <c r="O117" s="3" t="str">
        <f>TEXT(tblSales[[#This Row],[SaleDate]],"ddd")</f>
        <v>Wed</v>
      </c>
      <c r="P117" t="s">
        <v>124</v>
      </c>
      <c r="Q117" t="s">
        <v>141</v>
      </c>
      <c r="R117" t="s">
        <v>33</v>
      </c>
      <c r="S117">
        <v>10</v>
      </c>
      <c r="T117">
        <f>tblSales[[#This Row],[Quantity]]*tblSales[[#This Row],[CostPrice]]</f>
        <v>20</v>
      </c>
      <c r="U117">
        <f>tblSales[[#This Row],[LineTotal]]-tblSales[[#This Row],[LineCost]]</f>
        <v>24</v>
      </c>
      <c r="V117" s="1">
        <f>IF(tblSales[[#This Row],[LineTotal]]=0,0,tblSales[[#This Row],[GrossProfit]]/tblSales[[#This Row],[LineTotal]])</f>
        <v>0.54545454545454541</v>
      </c>
      <c r="W117" s="2">
        <f>WEEKDAY(tblSales[[#This Row],[SaleDate]],2)</f>
        <v>3</v>
      </c>
    </row>
    <row r="118" spans="1:23" x14ac:dyDescent="0.45">
      <c r="A118" t="s">
        <v>396</v>
      </c>
      <c r="B118" t="s">
        <v>394</v>
      </c>
      <c r="C118" t="s">
        <v>395</v>
      </c>
      <c r="D118" t="s">
        <v>188</v>
      </c>
      <c r="E118" t="s">
        <v>213</v>
      </c>
      <c r="F118" t="s">
        <v>108</v>
      </c>
      <c r="G118">
        <v>1</v>
      </c>
      <c r="H118">
        <v>8</v>
      </c>
      <c r="I118">
        <v>0</v>
      </c>
      <c r="J118" t="s">
        <v>29</v>
      </c>
      <c r="K118" t="s">
        <v>30</v>
      </c>
      <c r="L118">
        <f>(tblSales[[#This Row],[Quantity]]*tblSales[[#This Row],[UnitPrice]])-tblSales[[#This Row],[Discount]]</f>
        <v>8</v>
      </c>
      <c r="M118" s="3" t="str">
        <f>TEXT(tblSales[[#This Row],[SaleDate]],"mmm")</f>
        <v>May</v>
      </c>
      <c r="N118">
        <f>HOUR(tblSales[[#This Row],[SaleTime]])</f>
        <v>19</v>
      </c>
      <c r="O118" s="3" t="str">
        <f>TEXT(tblSales[[#This Row],[SaleDate]],"ddd")</f>
        <v>Wed</v>
      </c>
      <c r="P118" t="s">
        <v>31</v>
      </c>
      <c r="Q118" t="s">
        <v>109</v>
      </c>
      <c r="R118" t="s">
        <v>33</v>
      </c>
      <c r="S118">
        <v>2</v>
      </c>
      <c r="T118">
        <f>tblSales[[#This Row],[Quantity]]*tblSales[[#This Row],[CostPrice]]</f>
        <v>2</v>
      </c>
      <c r="U118">
        <f>tblSales[[#This Row],[LineTotal]]-tblSales[[#This Row],[LineCost]]</f>
        <v>6</v>
      </c>
      <c r="V118" s="1">
        <f>IF(tblSales[[#This Row],[LineTotal]]=0,0,tblSales[[#This Row],[GrossProfit]]/tblSales[[#This Row],[LineTotal]])</f>
        <v>0.75</v>
      </c>
      <c r="W118" s="2">
        <f>WEEKDAY(tblSales[[#This Row],[SaleDate]],2)</f>
        <v>3</v>
      </c>
    </row>
    <row r="119" spans="1:23" x14ac:dyDescent="0.45">
      <c r="A119" t="s">
        <v>397</v>
      </c>
      <c r="B119" t="s">
        <v>398</v>
      </c>
      <c r="C119" t="s">
        <v>395</v>
      </c>
      <c r="D119" t="s">
        <v>399</v>
      </c>
      <c r="E119" t="s">
        <v>258</v>
      </c>
      <c r="F119" t="s">
        <v>59</v>
      </c>
      <c r="G119">
        <v>1</v>
      </c>
      <c r="H119">
        <v>35</v>
      </c>
      <c r="I119">
        <v>0</v>
      </c>
      <c r="J119" t="s">
        <v>60</v>
      </c>
      <c r="K119" t="s">
        <v>86</v>
      </c>
      <c r="L119">
        <f>(tblSales[[#This Row],[Quantity]]*tblSales[[#This Row],[UnitPrice]])-tblSales[[#This Row],[Discount]]</f>
        <v>35</v>
      </c>
      <c r="M119" s="3" t="str">
        <f>TEXT(tblSales[[#This Row],[SaleDate]],"mmm")</f>
        <v>May</v>
      </c>
      <c r="N119">
        <f>HOUR(tblSales[[#This Row],[SaleTime]])</f>
        <v>12</v>
      </c>
      <c r="O119" s="3" t="str">
        <f>TEXT(tblSales[[#This Row],[SaleDate]],"ddd")</f>
        <v>Wed</v>
      </c>
      <c r="P119" t="s">
        <v>61</v>
      </c>
      <c r="Q119" t="s">
        <v>62</v>
      </c>
      <c r="R119" t="s">
        <v>63</v>
      </c>
      <c r="S119">
        <v>18</v>
      </c>
      <c r="T119">
        <f>tblSales[[#This Row],[Quantity]]*tblSales[[#This Row],[CostPrice]]</f>
        <v>18</v>
      </c>
      <c r="U119">
        <f>tblSales[[#This Row],[LineTotal]]-tblSales[[#This Row],[LineCost]]</f>
        <v>17</v>
      </c>
      <c r="V119" s="1">
        <f>IF(tblSales[[#This Row],[LineTotal]]=0,0,tblSales[[#This Row],[GrossProfit]]/tblSales[[#This Row],[LineTotal]])</f>
        <v>0.48571428571428571</v>
      </c>
      <c r="W119" s="2">
        <f>WEEKDAY(tblSales[[#This Row],[SaleDate]],2)</f>
        <v>3</v>
      </c>
    </row>
    <row r="120" spans="1:23" x14ac:dyDescent="0.45">
      <c r="A120" t="s">
        <v>400</v>
      </c>
      <c r="B120" t="s">
        <v>401</v>
      </c>
      <c r="C120" t="s">
        <v>402</v>
      </c>
      <c r="D120" t="s">
        <v>403</v>
      </c>
      <c r="E120" t="s">
        <v>404</v>
      </c>
      <c r="F120" t="s">
        <v>140</v>
      </c>
      <c r="G120">
        <v>1</v>
      </c>
      <c r="H120">
        <v>22</v>
      </c>
      <c r="I120">
        <v>0</v>
      </c>
      <c r="J120" t="s">
        <v>29</v>
      </c>
      <c r="K120" t="s">
        <v>30</v>
      </c>
      <c r="L120">
        <f>(tblSales[[#This Row],[Quantity]]*tblSales[[#This Row],[UnitPrice]])-tblSales[[#This Row],[Discount]]</f>
        <v>22</v>
      </c>
      <c r="M120" s="3" t="str">
        <f>TEXT(tblSales[[#This Row],[SaleDate]],"mmm")</f>
        <v>May</v>
      </c>
      <c r="N120">
        <f>HOUR(tblSales[[#This Row],[SaleTime]])</f>
        <v>19</v>
      </c>
      <c r="O120" s="3" t="str">
        <f>TEXT(tblSales[[#This Row],[SaleDate]],"ddd")</f>
        <v>Sun</v>
      </c>
      <c r="P120" t="s">
        <v>124</v>
      </c>
      <c r="Q120" t="s">
        <v>141</v>
      </c>
      <c r="R120" t="s">
        <v>33</v>
      </c>
      <c r="S120">
        <v>10</v>
      </c>
      <c r="T120">
        <f>tblSales[[#This Row],[Quantity]]*tblSales[[#This Row],[CostPrice]]</f>
        <v>10</v>
      </c>
      <c r="U120">
        <f>tblSales[[#This Row],[LineTotal]]-tblSales[[#This Row],[LineCost]]</f>
        <v>12</v>
      </c>
      <c r="V120" s="1">
        <f>IF(tblSales[[#This Row],[LineTotal]]=0,0,tblSales[[#This Row],[GrossProfit]]/tblSales[[#This Row],[LineTotal]])</f>
        <v>0.54545454545454541</v>
      </c>
      <c r="W120" s="2">
        <f>WEEKDAY(tblSales[[#This Row],[SaleDate]],2)</f>
        <v>7</v>
      </c>
    </row>
    <row r="121" spans="1:23" x14ac:dyDescent="0.45">
      <c r="A121" t="s">
        <v>405</v>
      </c>
      <c r="B121" t="s">
        <v>401</v>
      </c>
      <c r="C121" t="s">
        <v>402</v>
      </c>
      <c r="D121" t="s">
        <v>403</v>
      </c>
      <c r="E121" t="s">
        <v>404</v>
      </c>
      <c r="F121" t="s">
        <v>182</v>
      </c>
      <c r="G121">
        <v>1</v>
      </c>
      <c r="H121">
        <v>15</v>
      </c>
      <c r="I121">
        <v>0</v>
      </c>
      <c r="J121" t="s">
        <v>29</v>
      </c>
      <c r="K121" t="s">
        <v>30</v>
      </c>
      <c r="L121">
        <f>(tblSales[[#This Row],[Quantity]]*tblSales[[#This Row],[UnitPrice]])-tblSales[[#This Row],[Discount]]</f>
        <v>15</v>
      </c>
      <c r="M121" s="3" t="str">
        <f>TEXT(tblSales[[#This Row],[SaleDate]],"mmm")</f>
        <v>May</v>
      </c>
      <c r="N121">
        <f>HOUR(tblSales[[#This Row],[SaleTime]])</f>
        <v>19</v>
      </c>
      <c r="O121" s="3" t="str">
        <f>TEXT(tblSales[[#This Row],[SaleDate]],"ddd")</f>
        <v>Sun</v>
      </c>
      <c r="P121" t="s">
        <v>105</v>
      </c>
      <c r="Q121" t="s">
        <v>183</v>
      </c>
      <c r="R121" t="s">
        <v>33</v>
      </c>
      <c r="S121">
        <v>6</v>
      </c>
      <c r="T121">
        <f>tblSales[[#This Row],[Quantity]]*tblSales[[#This Row],[CostPrice]]</f>
        <v>6</v>
      </c>
      <c r="U121">
        <f>tblSales[[#This Row],[LineTotal]]-tblSales[[#This Row],[LineCost]]</f>
        <v>9</v>
      </c>
      <c r="V121" s="1">
        <f>IF(tblSales[[#This Row],[LineTotal]]=0,0,tblSales[[#This Row],[GrossProfit]]/tblSales[[#This Row],[LineTotal]])</f>
        <v>0.6</v>
      </c>
      <c r="W121" s="2">
        <f>WEEKDAY(tblSales[[#This Row],[SaleDate]],2)</f>
        <v>7</v>
      </c>
    </row>
    <row r="122" spans="1:23" x14ac:dyDescent="0.45">
      <c r="A122" t="s">
        <v>406</v>
      </c>
      <c r="B122" t="s">
        <v>407</v>
      </c>
      <c r="C122" t="s">
        <v>408</v>
      </c>
      <c r="D122" t="s">
        <v>409</v>
      </c>
      <c r="E122" t="s">
        <v>148</v>
      </c>
      <c r="F122" t="s">
        <v>59</v>
      </c>
      <c r="G122">
        <v>1</v>
      </c>
      <c r="H122">
        <v>35</v>
      </c>
      <c r="I122">
        <v>0</v>
      </c>
      <c r="J122" t="s">
        <v>29</v>
      </c>
      <c r="K122" t="s">
        <v>157</v>
      </c>
      <c r="L122">
        <f>(tblSales[[#This Row],[Quantity]]*tblSales[[#This Row],[UnitPrice]])-tblSales[[#This Row],[Discount]]</f>
        <v>35</v>
      </c>
      <c r="M122" s="3" t="str">
        <f>TEXT(tblSales[[#This Row],[SaleDate]],"mmm")</f>
        <v>May</v>
      </c>
      <c r="N122">
        <f>HOUR(tblSales[[#This Row],[SaleTime]])</f>
        <v>11</v>
      </c>
      <c r="O122" s="3" t="str">
        <f>TEXT(tblSales[[#This Row],[SaleDate]],"ddd")</f>
        <v>Tue</v>
      </c>
      <c r="P122" t="s">
        <v>61</v>
      </c>
      <c r="Q122" t="s">
        <v>62</v>
      </c>
      <c r="R122" t="s">
        <v>33</v>
      </c>
      <c r="S122">
        <v>18</v>
      </c>
      <c r="T122">
        <f>tblSales[[#This Row],[Quantity]]*tblSales[[#This Row],[CostPrice]]</f>
        <v>18</v>
      </c>
      <c r="U122">
        <f>tblSales[[#This Row],[LineTotal]]-tblSales[[#This Row],[LineCost]]</f>
        <v>17</v>
      </c>
      <c r="V122" s="1">
        <f>IF(tblSales[[#This Row],[LineTotal]]=0,0,tblSales[[#This Row],[GrossProfit]]/tblSales[[#This Row],[LineTotal]])</f>
        <v>0.48571428571428571</v>
      </c>
      <c r="W122" s="2">
        <f>WEEKDAY(tblSales[[#This Row],[SaleDate]],2)</f>
        <v>2</v>
      </c>
    </row>
    <row r="123" spans="1:23" x14ac:dyDescent="0.45">
      <c r="A123" t="s">
        <v>410</v>
      </c>
      <c r="B123" t="s">
        <v>407</v>
      </c>
      <c r="C123" t="s">
        <v>408</v>
      </c>
      <c r="D123" t="s">
        <v>409</v>
      </c>
      <c r="E123" t="s">
        <v>148</v>
      </c>
      <c r="F123" t="s">
        <v>38</v>
      </c>
      <c r="G123">
        <v>2</v>
      </c>
      <c r="H123">
        <v>55</v>
      </c>
      <c r="I123">
        <v>0</v>
      </c>
      <c r="J123" t="s">
        <v>29</v>
      </c>
      <c r="K123" t="s">
        <v>157</v>
      </c>
      <c r="L123">
        <f>(tblSales[[#This Row],[Quantity]]*tblSales[[#This Row],[UnitPrice]])-tblSales[[#This Row],[Discount]]</f>
        <v>110</v>
      </c>
      <c r="M123" s="3" t="str">
        <f>TEXT(tblSales[[#This Row],[SaleDate]],"mmm")</f>
        <v>May</v>
      </c>
      <c r="N123">
        <f>HOUR(tblSales[[#This Row],[SaleTime]])</f>
        <v>11</v>
      </c>
      <c r="O123" s="3" t="str">
        <f>TEXT(tblSales[[#This Row],[SaleDate]],"ddd")</f>
        <v>Tue</v>
      </c>
      <c r="P123" t="s">
        <v>39</v>
      </c>
      <c r="Q123" t="s">
        <v>40</v>
      </c>
      <c r="R123" t="s">
        <v>33</v>
      </c>
      <c r="S123">
        <v>30</v>
      </c>
      <c r="T123">
        <f>tblSales[[#This Row],[Quantity]]*tblSales[[#This Row],[CostPrice]]</f>
        <v>60</v>
      </c>
      <c r="U123">
        <f>tblSales[[#This Row],[LineTotal]]-tblSales[[#This Row],[LineCost]]</f>
        <v>50</v>
      </c>
      <c r="V123" s="1">
        <f>IF(tblSales[[#This Row],[LineTotal]]=0,0,tblSales[[#This Row],[GrossProfit]]/tblSales[[#This Row],[LineTotal]])</f>
        <v>0.45454545454545453</v>
      </c>
      <c r="W123" s="2">
        <f>WEEKDAY(tblSales[[#This Row],[SaleDate]],2)</f>
        <v>2</v>
      </c>
    </row>
    <row r="124" spans="1:23" x14ac:dyDescent="0.45">
      <c r="A124" t="s">
        <v>411</v>
      </c>
      <c r="B124" t="s">
        <v>412</v>
      </c>
      <c r="C124" t="s">
        <v>413</v>
      </c>
      <c r="D124" t="s">
        <v>414</v>
      </c>
      <c r="F124" t="s">
        <v>78</v>
      </c>
      <c r="G124">
        <v>1</v>
      </c>
      <c r="H124">
        <v>72</v>
      </c>
      <c r="I124">
        <v>0</v>
      </c>
      <c r="J124" t="s">
        <v>29</v>
      </c>
      <c r="K124" t="s">
        <v>30</v>
      </c>
      <c r="L124">
        <f>(tblSales[[#This Row],[Quantity]]*tblSales[[#This Row],[UnitPrice]])-tblSales[[#This Row],[Discount]]</f>
        <v>72</v>
      </c>
      <c r="M124" s="3" t="str">
        <f>TEXT(tblSales[[#This Row],[SaleDate]],"mmm")</f>
        <v>May</v>
      </c>
      <c r="N124">
        <f>HOUR(tblSales[[#This Row],[SaleTime]])</f>
        <v>19</v>
      </c>
      <c r="O124" s="3" t="str">
        <f>TEXT(tblSales[[#This Row],[SaleDate]],"ddd")</f>
        <v>Wed</v>
      </c>
      <c r="P124" t="s">
        <v>79</v>
      </c>
      <c r="Q124" t="s">
        <v>80</v>
      </c>
      <c r="R124" t="s">
        <v>33</v>
      </c>
      <c r="S124">
        <v>38</v>
      </c>
      <c r="T124">
        <f>tblSales[[#This Row],[Quantity]]*tblSales[[#This Row],[CostPrice]]</f>
        <v>38</v>
      </c>
      <c r="U124">
        <f>tblSales[[#This Row],[LineTotal]]-tblSales[[#This Row],[LineCost]]</f>
        <v>34</v>
      </c>
      <c r="V124" s="1">
        <f>IF(tblSales[[#This Row],[LineTotal]]=0,0,tblSales[[#This Row],[GrossProfit]]/tblSales[[#This Row],[LineTotal]])</f>
        <v>0.47222222222222221</v>
      </c>
      <c r="W124" s="2">
        <f>WEEKDAY(tblSales[[#This Row],[SaleDate]],2)</f>
        <v>3</v>
      </c>
    </row>
    <row r="125" spans="1:23" x14ac:dyDescent="0.45">
      <c r="A125" t="s">
        <v>415</v>
      </c>
      <c r="B125" t="s">
        <v>412</v>
      </c>
      <c r="C125" t="s">
        <v>413</v>
      </c>
      <c r="D125" t="s">
        <v>414</v>
      </c>
      <c r="F125" t="s">
        <v>182</v>
      </c>
      <c r="G125">
        <v>1</v>
      </c>
      <c r="H125">
        <v>15</v>
      </c>
      <c r="I125">
        <v>0</v>
      </c>
      <c r="J125" t="s">
        <v>29</v>
      </c>
      <c r="K125" t="s">
        <v>30</v>
      </c>
      <c r="L125">
        <f>(tblSales[[#This Row],[Quantity]]*tblSales[[#This Row],[UnitPrice]])-tblSales[[#This Row],[Discount]]</f>
        <v>15</v>
      </c>
      <c r="M125" s="3" t="str">
        <f>TEXT(tblSales[[#This Row],[SaleDate]],"mmm")</f>
        <v>May</v>
      </c>
      <c r="N125">
        <f>HOUR(tblSales[[#This Row],[SaleTime]])</f>
        <v>19</v>
      </c>
      <c r="O125" s="3" t="str">
        <f>TEXT(tblSales[[#This Row],[SaleDate]],"ddd")</f>
        <v>Wed</v>
      </c>
      <c r="P125" t="s">
        <v>105</v>
      </c>
      <c r="Q125" t="s">
        <v>183</v>
      </c>
      <c r="R125" t="s">
        <v>33</v>
      </c>
      <c r="S125">
        <v>6</v>
      </c>
      <c r="T125">
        <f>tblSales[[#This Row],[Quantity]]*tblSales[[#This Row],[CostPrice]]</f>
        <v>6</v>
      </c>
      <c r="U125">
        <f>tblSales[[#This Row],[LineTotal]]-tblSales[[#This Row],[LineCost]]</f>
        <v>9</v>
      </c>
      <c r="V125" s="1">
        <f>IF(tblSales[[#This Row],[LineTotal]]=0,0,tblSales[[#This Row],[GrossProfit]]/tblSales[[#This Row],[LineTotal]])</f>
        <v>0.6</v>
      </c>
      <c r="W125" s="2">
        <f>WEEKDAY(tblSales[[#This Row],[SaleDate]],2)</f>
        <v>3</v>
      </c>
    </row>
    <row r="126" spans="1:23" x14ac:dyDescent="0.45">
      <c r="A126" t="s">
        <v>416</v>
      </c>
      <c r="B126" t="s">
        <v>417</v>
      </c>
      <c r="C126" t="s">
        <v>418</v>
      </c>
      <c r="D126" t="s">
        <v>419</v>
      </c>
      <c r="F126" t="s">
        <v>38</v>
      </c>
      <c r="G126">
        <v>2</v>
      </c>
      <c r="H126">
        <v>55</v>
      </c>
      <c r="I126">
        <v>10</v>
      </c>
      <c r="J126" t="s">
        <v>60</v>
      </c>
      <c r="K126" t="s">
        <v>86</v>
      </c>
      <c r="L126">
        <f>(tblSales[[#This Row],[Quantity]]*tblSales[[#This Row],[UnitPrice]])-tblSales[[#This Row],[Discount]]</f>
        <v>100</v>
      </c>
      <c r="M126" s="3" t="str">
        <f>TEXT(tblSales[[#This Row],[SaleDate]],"mmm")</f>
        <v>May</v>
      </c>
      <c r="N126">
        <f>HOUR(tblSales[[#This Row],[SaleTime]])</f>
        <v>21</v>
      </c>
      <c r="O126" s="3" t="str">
        <f>TEXT(tblSales[[#This Row],[SaleDate]],"ddd")</f>
        <v>Thu</v>
      </c>
      <c r="P126" t="s">
        <v>39</v>
      </c>
      <c r="Q126" t="s">
        <v>40</v>
      </c>
      <c r="R126" t="s">
        <v>63</v>
      </c>
      <c r="S126">
        <v>30</v>
      </c>
      <c r="T126">
        <f>tblSales[[#This Row],[Quantity]]*tblSales[[#This Row],[CostPrice]]</f>
        <v>60</v>
      </c>
      <c r="U126">
        <f>tblSales[[#This Row],[LineTotal]]-tblSales[[#This Row],[LineCost]]</f>
        <v>40</v>
      </c>
      <c r="V126" s="1">
        <f>IF(tblSales[[#This Row],[LineTotal]]=0,0,tblSales[[#This Row],[GrossProfit]]/tblSales[[#This Row],[LineTotal]])</f>
        <v>0.4</v>
      </c>
      <c r="W126" s="2">
        <f>WEEKDAY(tblSales[[#This Row],[SaleDate]],2)</f>
        <v>4</v>
      </c>
    </row>
    <row r="127" spans="1:23" x14ac:dyDescent="0.45">
      <c r="A127" t="s">
        <v>420</v>
      </c>
      <c r="B127" t="s">
        <v>421</v>
      </c>
      <c r="C127" t="s">
        <v>422</v>
      </c>
      <c r="D127" t="s">
        <v>292</v>
      </c>
      <c r="F127" t="s">
        <v>108</v>
      </c>
      <c r="G127">
        <v>1</v>
      </c>
      <c r="H127">
        <v>8</v>
      </c>
      <c r="I127">
        <v>0</v>
      </c>
      <c r="J127" t="s">
        <v>50</v>
      </c>
      <c r="K127" t="s">
        <v>86</v>
      </c>
      <c r="L127">
        <f>(tblSales[[#This Row],[Quantity]]*tblSales[[#This Row],[UnitPrice]])-tblSales[[#This Row],[Discount]]</f>
        <v>8</v>
      </c>
      <c r="M127" s="3" t="str">
        <f>TEXT(tblSales[[#This Row],[SaleDate]],"mmm")</f>
        <v>May</v>
      </c>
      <c r="N127">
        <f>HOUR(tblSales[[#This Row],[SaleTime]])</f>
        <v>12</v>
      </c>
      <c r="O127" s="3" t="str">
        <f>TEXT(tblSales[[#This Row],[SaleDate]],"ddd")</f>
        <v>Sat</v>
      </c>
      <c r="P127" t="s">
        <v>31</v>
      </c>
      <c r="Q127" t="s">
        <v>109</v>
      </c>
      <c r="R127" t="s">
        <v>53</v>
      </c>
      <c r="S127">
        <v>2</v>
      </c>
      <c r="T127">
        <f>tblSales[[#This Row],[Quantity]]*tblSales[[#This Row],[CostPrice]]</f>
        <v>2</v>
      </c>
      <c r="U127">
        <f>tblSales[[#This Row],[LineTotal]]-tblSales[[#This Row],[LineCost]]</f>
        <v>6</v>
      </c>
      <c r="V127" s="1">
        <f>IF(tblSales[[#This Row],[LineTotal]]=0,0,tblSales[[#This Row],[GrossProfit]]/tblSales[[#This Row],[LineTotal]])</f>
        <v>0.75</v>
      </c>
      <c r="W127" s="2">
        <f>WEEKDAY(tblSales[[#This Row],[SaleDate]],2)</f>
        <v>6</v>
      </c>
    </row>
    <row r="128" spans="1:23" x14ac:dyDescent="0.45">
      <c r="A128" t="s">
        <v>423</v>
      </c>
      <c r="B128" t="s">
        <v>424</v>
      </c>
      <c r="C128" t="s">
        <v>425</v>
      </c>
      <c r="D128" t="s">
        <v>426</v>
      </c>
      <c r="E128" t="s">
        <v>228</v>
      </c>
      <c r="F128" t="s">
        <v>28</v>
      </c>
      <c r="G128">
        <v>2</v>
      </c>
      <c r="H128">
        <v>12</v>
      </c>
      <c r="I128">
        <v>5</v>
      </c>
      <c r="J128" t="s">
        <v>60</v>
      </c>
      <c r="K128" t="s">
        <v>86</v>
      </c>
      <c r="L128">
        <f>(tblSales[[#This Row],[Quantity]]*tblSales[[#This Row],[UnitPrice]])-tblSales[[#This Row],[Discount]]</f>
        <v>19</v>
      </c>
      <c r="M128" s="3" t="str">
        <f>TEXT(tblSales[[#This Row],[SaleDate]],"mmm")</f>
        <v>May</v>
      </c>
      <c r="N128">
        <f>HOUR(tblSales[[#This Row],[SaleTime]])</f>
        <v>14</v>
      </c>
      <c r="O128" s="3" t="str">
        <f>TEXT(tblSales[[#This Row],[SaleDate]],"ddd")</f>
        <v>Mon</v>
      </c>
      <c r="P128" t="s">
        <v>31</v>
      </c>
      <c r="Q128" t="s">
        <v>32</v>
      </c>
      <c r="R128" t="s">
        <v>63</v>
      </c>
      <c r="S128">
        <v>3</v>
      </c>
      <c r="T128">
        <f>tblSales[[#This Row],[Quantity]]*tblSales[[#This Row],[CostPrice]]</f>
        <v>6</v>
      </c>
      <c r="U128">
        <f>tblSales[[#This Row],[LineTotal]]-tblSales[[#This Row],[LineCost]]</f>
        <v>13</v>
      </c>
      <c r="V128" s="1">
        <f>IF(tblSales[[#This Row],[LineTotal]]=0,0,tblSales[[#This Row],[GrossProfit]]/tblSales[[#This Row],[LineTotal]])</f>
        <v>0.68421052631578949</v>
      </c>
      <c r="W128" s="2">
        <f>WEEKDAY(tblSales[[#This Row],[SaleDate]],2)</f>
        <v>1</v>
      </c>
    </row>
    <row r="129" spans="1:23" x14ac:dyDescent="0.45">
      <c r="A129" t="s">
        <v>427</v>
      </c>
      <c r="B129" t="s">
        <v>424</v>
      </c>
      <c r="C129" t="s">
        <v>425</v>
      </c>
      <c r="D129" t="s">
        <v>426</v>
      </c>
      <c r="E129" t="s">
        <v>228</v>
      </c>
      <c r="F129" t="s">
        <v>140</v>
      </c>
      <c r="G129">
        <v>2</v>
      </c>
      <c r="H129">
        <v>22</v>
      </c>
      <c r="I129">
        <v>5</v>
      </c>
      <c r="J129" t="s">
        <v>60</v>
      </c>
      <c r="K129" t="s">
        <v>86</v>
      </c>
      <c r="L129">
        <f>(tblSales[[#This Row],[Quantity]]*tblSales[[#This Row],[UnitPrice]])-tblSales[[#This Row],[Discount]]</f>
        <v>39</v>
      </c>
      <c r="M129" s="3" t="str">
        <f>TEXT(tblSales[[#This Row],[SaleDate]],"mmm")</f>
        <v>May</v>
      </c>
      <c r="N129">
        <f>HOUR(tblSales[[#This Row],[SaleTime]])</f>
        <v>14</v>
      </c>
      <c r="O129" s="3" t="str">
        <f>TEXT(tblSales[[#This Row],[SaleDate]],"ddd")</f>
        <v>Mon</v>
      </c>
      <c r="P129" t="s">
        <v>124</v>
      </c>
      <c r="Q129" t="s">
        <v>141</v>
      </c>
      <c r="R129" t="s">
        <v>63</v>
      </c>
      <c r="S129">
        <v>10</v>
      </c>
      <c r="T129">
        <f>tblSales[[#This Row],[Quantity]]*tblSales[[#This Row],[CostPrice]]</f>
        <v>20</v>
      </c>
      <c r="U129">
        <f>tblSales[[#This Row],[LineTotal]]-tblSales[[#This Row],[LineCost]]</f>
        <v>19</v>
      </c>
      <c r="V129" s="1">
        <f>IF(tblSales[[#This Row],[LineTotal]]=0,0,tblSales[[#This Row],[GrossProfit]]/tblSales[[#This Row],[LineTotal]])</f>
        <v>0.48717948717948717</v>
      </c>
      <c r="W129" s="2">
        <f>WEEKDAY(tblSales[[#This Row],[SaleDate]],2)</f>
        <v>1</v>
      </c>
    </row>
    <row r="130" spans="1:23" x14ac:dyDescent="0.45">
      <c r="A130" t="s">
        <v>428</v>
      </c>
      <c r="B130" t="s">
        <v>429</v>
      </c>
      <c r="C130" t="s">
        <v>430</v>
      </c>
      <c r="D130" t="s">
        <v>431</v>
      </c>
      <c r="E130" t="s">
        <v>344</v>
      </c>
      <c r="F130" t="s">
        <v>123</v>
      </c>
      <c r="G130">
        <v>1</v>
      </c>
      <c r="H130">
        <v>28</v>
      </c>
      <c r="I130">
        <v>0</v>
      </c>
      <c r="J130" t="s">
        <v>50</v>
      </c>
      <c r="K130" t="s">
        <v>30</v>
      </c>
      <c r="L130">
        <f>(tblSales[[#This Row],[Quantity]]*tblSales[[#This Row],[UnitPrice]])-tblSales[[#This Row],[Discount]]</f>
        <v>28</v>
      </c>
      <c r="M130" s="3" t="str">
        <f>TEXT(tblSales[[#This Row],[SaleDate]],"mmm")</f>
        <v>May</v>
      </c>
      <c r="N130">
        <f>HOUR(tblSales[[#This Row],[SaleTime]])</f>
        <v>22</v>
      </c>
      <c r="O130" s="3" t="str">
        <f>TEXT(tblSales[[#This Row],[SaleDate]],"ddd")</f>
        <v>Tue</v>
      </c>
      <c r="P130" t="s">
        <v>124</v>
      </c>
      <c r="Q130" t="s">
        <v>125</v>
      </c>
      <c r="R130" t="s">
        <v>53</v>
      </c>
      <c r="S130">
        <v>12</v>
      </c>
      <c r="T130">
        <f>tblSales[[#This Row],[Quantity]]*tblSales[[#This Row],[CostPrice]]</f>
        <v>12</v>
      </c>
      <c r="U130">
        <f>tblSales[[#This Row],[LineTotal]]-tblSales[[#This Row],[LineCost]]</f>
        <v>16</v>
      </c>
      <c r="V130" s="1">
        <f>IF(tblSales[[#This Row],[LineTotal]]=0,0,tblSales[[#This Row],[GrossProfit]]/tblSales[[#This Row],[LineTotal]])</f>
        <v>0.5714285714285714</v>
      </c>
      <c r="W130" s="2">
        <f>WEEKDAY(tblSales[[#This Row],[SaleDate]],2)</f>
        <v>2</v>
      </c>
    </row>
    <row r="131" spans="1:23" x14ac:dyDescent="0.45">
      <c r="A131" t="s">
        <v>432</v>
      </c>
      <c r="B131" t="s">
        <v>433</v>
      </c>
      <c r="C131" t="s">
        <v>430</v>
      </c>
      <c r="D131" t="s">
        <v>434</v>
      </c>
      <c r="E131" t="s">
        <v>77</v>
      </c>
      <c r="F131" t="s">
        <v>108</v>
      </c>
      <c r="G131">
        <v>1</v>
      </c>
      <c r="H131">
        <v>8</v>
      </c>
      <c r="I131">
        <v>0</v>
      </c>
      <c r="J131" t="s">
        <v>50</v>
      </c>
      <c r="K131" t="s">
        <v>30</v>
      </c>
      <c r="L131">
        <f>(tblSales[[#This Row],[Quantity]]*tblSales[[#This Row],[UnitPrice]])-tblSales[[#This Row],[Discount]]</f>
        <v>8</v>
      </c>
      <c r="M131" s="3" t="str">
        <f>TEXT(tblSales[[#This Row],[SaleDate]],"mmm")</f>
        <v>May</v>
      </c>
      <c r="N131">
        <f>HOUR(tblSales[[#This Row],[SaleTime]])</f>
        <v>19</v>
      </c>
      <c r="O131" s="3" t="str">
        <f>TEXT(tblSales[[#This Row],[SaleDate]],"ddd")</f>
        <v>Tue</v>
      </c>
      <c r="P131" t="s">
        <v>31</v>
      </c>
      <c r="Q131" t="s">
        <v>109</v>
      </c>
      <c r="R131" t="s">
        <v>53</v>
      </c>
      <c r="S131">
        <v>2</v>
      </c>
      <c r="T131">
        <f>tblSales[[#This Row],[Quantity]]*tblSales[[#This Row],[CostPrice]]</f>
        <v>2</v>
      </c>
      <c r="U131">
        <f>tblSales[[#This Row],[LineTotal]]-tblSales[[#This Row],[LineCost]]</f>
        <v>6</v>
      </c>
      <c r="V131" s="1">
        <f>IF(tblSales[[#This Row],[LineTotal]]=0,0,tblSales[[#This Row],[GrossProfit]]/tblSales[[#This Row],[LineTotal]])</f>
        <v>0.75</v>
      </c>
      <c r="W131" s="2">
        <f>WEEKDAY(tblSales[[#This Row],[SaleDate]],2)</f>
        <v>2</v>
      </c>
    </row>
    <row r="132" spans="1:23" x14ac:dyDescent="0.45">
      <c r="A132" t="s">
        <v>435</v>
      </c>
      <c r="B132" t="s">
        <v>433</v>
      </c>
      <c r="C132" t="s">
        <v>430</v>
      </c>
      <c r="D132" t="s">
        <v>434</v>
      </c>
      <c r="E132" t="s">
        <v>77</v>
      </c>
      <c r="F132" t="s">
        <v>49</v>
      </c>
      <c r="G132">
        <v>2</v>
      </c>
      <c r="H132">
        <v>62</v>
      </c>
      <c r="I132">
        <v>0</v>
      </c>
      <c r="J132" t="s">
        <v>50</v>
      </c>
      <c r="K132" t="s">
        <v>30</v>
      </c>
      <c r="L132">
        <f>(tblSales[[#This Row],[Quantity]]*tblSales[[#This Row],[UnitPrice]])-tblSales[[#This Row],[Discount]]</f>
        <v>124</v>
      </c>
      <c r="M132" s="3" t="str">
        <f>TEXT(tblSales[[#This Row],[SaleDate]],"mmm")</f>
        <v>May</v>
      </c>
      <c r="N132">
        <f>HOUR(tblSales[[#This Row],[SaleTime]])</f>
        <v>19</v>
      </c>
      <c r="O132" s="3" t="str">
        <f>TEXT(tblSales[[#This Row],[SaleDate]],"ddd")</f>
        <v>Tue</v>
      </c>
      <c r="P132" t="s">
        <v>51</v>
      </c>
      <c r="Q132" t="s">
        <v>52</v>
      </c>
      <c r="R132" t="s">
        <v>53</v>
      </c>
      <c r="S132">
        <v>34</v>
      </c>
      <c r="T132">
        <f>tblSales[[#This Row],[Quantity]]*tblSales[[#This Row],[CostPrice]]</f>
        <v>68</v>
      </c>
      <c r="U132">
        <f>tblSales[[#This Row],[LineTotal]]-tblSales[[#This Row],[LineCost]]</f>
        <v>56</v>
      </c>
      <c r="V132" s="1">
        <f>IF(tblSales[[#This Row],[LineTotal]]=0,0,tblSales[[#This Row],[GrossProfit]]/tblSales[[#This Row],[LineTotal]])</f>
        <v>0.45161290322580644</v>
      </c>
      <c r="W132" s="2">
        <f>WEEKDAY(tblSales[[#This Row],[SaleDate]],2)</f>
        <v>2</v>
      </c>
    </row>
    <row r="133" spans="1:23" x14ac:dyDescent="0.45">
      <c r="A133" t="s">
        <v>436</v>
      </c>
      <c r="B133" t="s">
        <v>437</v>
      </c>
      <c r="C133" t="s">
        <v>438</v>
      </c>
      <c r="D133" t="s">
        <v>439</v>
      </c>
      <c r="E133" t="s">
        <v>58</v>
      </c>
      <c r="F133" t="s">
        <v>111</v>
      </c>
      <c r="G133">
        <v>2</v>
      </c>
      <c r="H133">
        <v>12</v>
      </c>
      <c r="I133">
        <v>0</v>
      </c>
      <c r="J133" t="s">
        <v>50</v>
      </c>
      <c r="K133" t="s">
        <v>30</v>
      </c>
      <c r="L133">
        <f>(tblSales[[#This Row],[Quantity]]*tblSales[[#This Row],[UnitPrice]])-tblSales[[#This Row],[Discount]]</f>
        <v>24</v>
      </c>
      <c r="M133" s="3" t="str">
        <f>TEXT(tblSales[[#This Row],[SaleDate]],"mmm")</f>
        <v>May</v>
      </c>
      <c r="N133">
        <f>HOUR(tblSales[[#This Row],[SaleTime]])</f>
        <v>22</v>
      </c>
      <c r="O133" s="3" t="str">
        <f>TEXT(tblSales[[#This Row],[SaleDate]],"ddd")</f>
        <v>Thu</v>
      </c>
      <c r="P133" t="s">
        <v>31</v>
      </c>
      <c r="Q133" t="s">
        <v>112</v>
      </c>
      <c r="R133" t="s">
        <v>53</v>
      </c>
      <c r="S133">
        <v>5</v>
      </c>
      <c r="T133">
        <f>tblSales[[#This Row],[Quantity]]*tblSales[[#This Row],[CostPrice]]</f>
        <v>10</v>
      </c>
      <c r="U133">
        <f>tblSales[[#This Row],[LineTotal]]-tblSales[[#This Row],[LineCost]]</f>
        <v>14</v>
      </c>
      <c r="V133" s="1">
        <f>IF(tblSales[[#This Row],[LineTotal]]=0,0,tblSales[[#This Row],[GrossProfit]]/tblSales[[#This Row],[LineTotal]])</f>
        <v>0.58333333333333337</v>
      </c>
      <c r="W133" s="2">
        <f>WEEKDAY(tblSales[[#This Row],[SaleDate]],2)</f>
        <v>4</v>
      </c>
    </row>
    <row r="134" spans="1:23" x14ac:dyDescent="0.45">
      <c r="A134" t="s">
        <v>440</v>
      </c>
      <c r="B134" t="s">
        <v>437</v>
      </c>
      <c r="C134" t="s">
        <v>438</v>
      </c>
      <c r="D134" t="s">
        <v>439</v>
      </c>
      <c r="E134" t="s">
        <v>58</v>
      </c>
      <c r="F134" t="s">
        <v>78</v>
      </c>
      <c r="G134">
        <v>2</v>
      </c>
      <c r="H134">
        <v>72</v>
      </c>
      <c r="I134">
        <v>0</v>
      </c>
      <c r="J134" t="s">
        <v>50</v>
      </c>
      <c r="K134" t="s">
        <v>30</v>
      </c>
      <c r="L134">
        <f>(tblSales[[#This Row],[Quantity]]*tblSales[[#This Row],[UnitPrice]])-tblSales[[#This Row],[Discount]]</f>
        <v>144</v>
      </c>
      <c r="M134" s="3" t="str">
        <f>TEXT(tblSales[[#This Row],[SaleDate]],"mmm")</f>
        <v>May</v>
      </c>
      <c r="N134">
        <f>HOUR(tblSales[[#This Row],[SaleTime]])</f>
        <v>22</v>
      </c>
      <c r="O134" s="3" t="str">
        <f>TEXT(tblSales[[#This Row],[SaleDate]],"ddd")</f>
        <v>Thu</v>
      </c>
      <c r="P134" t="s">
        <v>79</v>
      </c>
      <c r="Q134" t="s">
        <v>80</v>
      </c>
      <c r="R134" t="s">
        <v>53</v>
      </c>
      <c r="S134">
        <v>38</v>
      </c>
      <c r="T134">
        <f>tblSales[[#This Row],[Quantity]]*tblSales[[#This Row],[CostPrice]]</f>
        <v>76</v>
      </c>
      <c r="U134">
        <f>tblSales[[#This Row],[LineTotal]]-tblSales[[#This Row],[LineCost]]</f>
        <v>68</v>
      </c>
      <c r="V134" s="1">
        <f>IF(tblSales[[#This Row],[LineTotal]]=0,0,tblSales[[#This Row],[GrossProfit]]/tblSales[[#This Row],[LineTotal]])</f>
        <v>0.47222222222222221</v>
      </c>
      <c r="W134" s="2">
        <f>WEEKDAY(tblSales[[#This Row],[SaleDate]],2)</f>
        <v>4</v>
      </c>
    </row>
    <row r="135" spans="1:23" x14ac:dyDescent="0.45">
      <c r="A135" t="s">
        <v>441</v>
      </c>
      <c r="B135" t="s">
        <v>437</v>
      </c>
      <c r="C135" t="s">
        <v>438</v>
      </c>
      <c r="D135" t="s">
        <v>439</v>
      </c>
      <c r="E135" t="s">
        <v>58</v>
      </c>
      <c r="F135" t="s">
        <v>104</v>
      </c>
      <c r="G135">
        <v>1</v>
      </c>
      <c r="H135">
        <v>18</v>
      </c>
      <c r="I135">
        <v>0</v>
      </c>
      <c r="J135" t="s">
        <v>50</v>
      </c>
      <c r="K135" t="s">
        <v>30</v>
      </c>
      <c r="L135">
        <f>(tblSales[[#This Row],[Quantity]]*tblSales[[#This Row],[UnitPrice]])-tblSales[[#This Row],[Discount]]</f>
        <v>18</v>
      </c>
      <c r="M135" s="3" t="str">
        <f>TEXT(tblSales[[#This Row],[SaleDate]],"mmm")</f>
        <v>May</v>
      </c>
      <c r="N135">
        <f>HOUR(tblSales[[#This Row],[SaleTime]])</f>
        <v>22</v>
      </c>
      <c r="O135" s="3" t="str">
        <f>TEXT(tblSales[[#This Row],[SaleDate]],"ddd")</f>
        <v>Thu</v>
      </c>
      <c r="P135" t="s">
        <v>105</v>
      </c>
      <c r="Q135" t="s">
        <v>106</v>
      </c>
      <c r="R135" t="s">
        <v>53</v>
      </c>
      <c r="S135">
        <v>8</v>
      </c>
      <c r="T135">
        <f>tblSales[[#This Row],[Quantity]]*tblSales[[#This Row],[CostPrice]]</f>
        <v>8</v>
      </c>
      <c r="U135">
        <f>tblSales[[#This Row],[LineTotal]]-tblSales[[#This Row],[LineCost]]</f>
        <v>10</v>
      </c>
      <c r="V135" s="1">
        <f>IF(tblSales[[#This Row],[LineTotal]]=0,0,tblSales[[#This Row],[GrossProfit]]/tblSales[[#This Row],[LineTotal]])</f>
        <v>0.55555555555555558</v>
      </c>
      <c r="W135" s="2">
        <f>WEEKDAY(tblSales[[#This Row],[SaleDate]],2)</f>
        <v>4</v>
      </c>
    </row>
    <row r="136" spans="1:23" x14ac:dyDescent="0.45">
      <c r="A136" t="s">
        <v>442</v>
      </c>
      <c r="B136" t="s">
        <v>443</v>
      </c>
      <c r="C136" t="s">
        <v>444</v>
      </c>
      <c r="D136" t="s">
        <v>445</v>
      </c>
      <c r="E136" t="s">
        <v>233</v>
      </c>
      <c r="F136" t="s">
        <v>140</v>
      </c>
      <c r="G136">
        <v>1</v>
      </c>
      <c r="H136">
        <v>22</v>
      </c>
      <c r="I136">
        <v>0</v>
      </c>
      <c r="J136" t="s">
        <v>50</v>
      </c>
      <c r="K136" t="s">
        <v>30</v>
      </c>
      <c r="L136">
        <f>(tblSales[[#This Row],[Quantity]]*tblSales[[#This Row],[UnitPrice]])-tblSales[[#This Row],[Discount]]</f>
        <v>22</v>
      </c>
      <c r="M136" s="3" t="str">
        <f>TEXT(tblSales[[#This Row],[SaleDate]],"mmm")</f>
        <v>May</v>
      </c>
      <c r="N136">
        <f>HOUR(tblSales[[#This Row],[SaleTime]])</f>
        <v>19</v>
      </c>
      <c r="O136" s="3" t="str">
        <f>TEXT(tblSales[[#This Row],[SaleDate]],"ddd")</f>
        <v>Fri</v>
      </c>
      <c r="P136" t="s">
        <v>124</v>
      </c>
      <c r="Q136" t="s">
        <v>141</v>
      </c>
      <c r="R136" t="s">
        <v>53</v>
      </c>
      <c r="S136">
        <v>10</v>
      </c>
      <c r="T136">
        <f>tblSales[[#This Row],[Quantity]]*tblSales[[#This Row],[CostPrice]]</f>
        <v>10</v>
      </c>
      <c r="U136">
        <f>tblSales[[#This Row],[LineTotal]]-tblSales[[#This Row],[LineCost]]</f>
        <v>12</v>
      </c>
      <c r="V136" s="1">
        <f>IF(tblSales[[#This Row],[LineTotal]]=0,0,tblSales[[#This Row],[GrossProfit]]/tblSales[[#This Row],[LineTotal]])</f>
        <v>0.54545454545454541</v>
      </c>
      <c r="W136" s="2">
        <f>WEEKDAY(tblSales[[#This Row],[SaleDate]],2)</f>
        <v>5</v>
      </c>
    </row>
    <row r="137" spans="1:23" x14ac:dyDescent="0.45">
      <c r="A137" t="s">
        <v>446</v>
      </c>
      <c r="B137" t="s">
        <v>443</v>
      </c>
      <c r="C137" t="s">
        <v>444</v>
      </c>
      <c r="D137" t="s">
        <v>445</v>
      </c>
      <c r="E137" t="s">
        <v>233</v>
      </c>
      <c r="F137" t="s">
        <v>123</v>
      </c>
      <c r="G137">
        <v>2</v>
      </c>
      <c r="H137">
        <v>28</v>
      </c>
      <c r="I137">
        <v>0</v>
      </c>
      <c r="J137" t="s">
        <v>50</v>
      </c>
      <c r="K137" t="s">
        <v>30</v>
      </c>
      <c r="L137">
        <f>(tblSales[[#This Row],[Quantity]]*tblSales[[#This Row],[UnitPrice]])-tblSales[[#This Row],[Discount]]</f>
        <v>56</v>
      </c>
      <c r="M137" s="3" t="str">
        <f>TEXT(tblSales[[#This Row],[SaleDate]],"mmm")</f>
        <v>May</v>
      </c>
      <c r="N137">
        <f>HOUR(tblSales[[#This Row],[SaleTime]])</f>
        <v>19</v>
      </c>
      <c r="O137" s="3" t="str">
        <f>TEXT(tblSales[[#This Row],[SaleDate]],"ddd")</f>
        <v>Fri</v>
      </c>
      <c r="P137" t="s">
        <v>124</v>
      </c>
      <c r="Q137" t="s">
        <v>125</v>
      </c>
      <c r="R137" t="s">
        <v>53</v>
      </c>
      <c r="S137">
        <v>12</v>
      </c>
      <c r="T137">
        <f>tblSales[[#This Row],[Quantity]]*tblSales[[#This Row],[CostPrice]]</f>
        <v>24</v>
      </c>
      <c r="U137">
        <f>tblSales[[#This Row],[LineTotal]]-tblSales[[#This Row],[LineCost]]</f>
        <v>32</v>
      </c>
      <c r="V137" s="1">
        <f>IF(tblSales[[#This Row],[LineTotal]]=0,0,tblSales[[#This Row],[GrossProfit]]/tblSales[[#This Row],[LineTotal]])</f>
        <v>0.5714285714285714</v>
      </c>
      <c r="W137" s="2">
        <f>WEEKDAY(tblSales[[#This Row],[SaleDate]],2)</f>
        <v>5</v>
      </c>
    </row>
    <row r="138" spans="1:23" x14ac:dyDescent="0.45">
      <c r="A138" t="s">
        <v>447</v>
      </c>
      <c r="B138" t="s">
        <v>448</v>
      </c>
      <c r="C138" t="s">
        <v>449</v>
      </c>
      <c r="D138" t="s">
        <v>90</v>
      </c>
      <c r="F138" t="s">
        <v>108</v>
      </c>
      <c r="G138">
        <v>2</v>
      </c>
      <c r="H138">
        <v>8</v>
      </c>
      <c r="I138">
        <v>0</v>
      </c>
      <c r="J138" t="s">
        <v>50</v>
      </c>
      <c r="K138" t="s">
        <v>30</v>
      </c>
      <c r="L138">
        <f>(tblSales[[#This Row],[Quantity]]*tblSales[[#This Row],[UnitPrice]])-tblSales[[#This Row],[Discount]]</f>
        <v>16</v>
      </c>
      <c r="M138" s="3" t="str">
        <f>TEXT(tblSales[[#This Row],[SaleDate]],"mmm")</f>
        <v>May</v>
      </c>
      <c r="N138">
        <f>HOUR(tblSales[[#This Row],[SaleTime]])</f>
        <v>22</v>
      </c>
      <c r="O138" s="3" t="str">
        <f>TEXT(tblSales[[#This Row],[SaleDate]],"ddd")</f>
        <v>Tue</v>
      </c>
      <c r="P138" t="s">
        <v>31</v>
      </c>
      <c r="Q138" t="s">
        <v>109</v>
      </c>
      <c r="R138" t="s">
        <v>53</v>
      </c>
      <c r="S138">
        <v>2</v>
      </c>
      <c r="T138">
        <f>tblSales[[#This Row],[Quantity]]*tblSales[[#This Row],[CostPrice]]</f>
        <v>4</v>
      </c>
      <c r="U138">
        <f>tblSales[[#This Row],[LineTotal]]-tblSales[[#This Row],[LineCost]]</f>
        <v>12</v>
      </c>
      <c r="V138" s="1">
        <f>IF(tblSales[[#This Row],[LineTotal]]=0,0,tblSales[[#This Row],[GrossProfit]]/tblSales[[#This Row],[LineTotal]])</f>
        <v>0.75</v>
      </c>
      <c r="W138" s="2">
        <f>WEEKDAY(tblSales[[#This Row],[SaleDate]],2)</f>
        <v>2</v>
      </c>
    </row>
    <row r="139" spans="1:23" x14ac:dyDescent="0.45">
      <c r="A139" t="s">
        <v>450</v>
      </c>
      <c r="B139" t="s">
        <v>448</v>
      </c>
      <c r="C139" t="s">
        <v>449</v>
      </c>
      <c r="D139" t="s">
        <v>90</v>
      </c>
      <c r="F139" t="s">
        <v>38</v>
      </c>
      <c r="G139">
        <v>1</v>
      </c>
      <c r="H139">
        <v>55</v>
      </c>
      <c r="I139">
        <v>0</v>
      </c>
      <c r="J139" t="s">
        <v>50</v>
      </c>
      <c r="K139" t="s">
        <v>30</v>
      </c>
      <c r="L139">
        <f>(tblSales[[#This Row],[Quantity]]*tblSales[[#This Row],[UnitPrice]])-tblSales[[#This Row],[Discount]]</f>
        <v>55</v>
      </c>
      <c r="M139" s="3" t="str">
        <f>TEXT(tblSales[[#This Row],[SaleDate]],"mmm")</f>
        <v>May</v>
      </c>
      <c r="N139">
        <f>HOUR(tblSales[[#This Row],[SaleTime]])</f>
        <v>22</v>
      </c>
      <c r="O139" s="3" t="str">
        <f>TEXT(tblSales[[#This Row],[SaleDate]],"ddd")</f>
        <v>Tue</v>
      </c>
      <c r="P139" t="s">
        <v>39</v>
      </c>
      <c r="Q139" t="s">
        <v>40</v>
      </c>
      <c r="R139" t="s">
        <v>53</v>
      </c>
      <c r="S139">
        <v>30</v>
      </c>
      <c r="T139">
        <f>tblSales[[#This Row],[Quantity]]*tblSales[[#This Row],[CostPrice]]</f>
        <v>30</v>
      </c>
      <c r="U139">
        <f>tblSales[[#This Row],[LineTotal]]-tblSales[[#This Row],[LineCost]]</f>
        <v>25</v>
      </c>
      <c r="V139" s="1">
        <f>IF(tblSales[[#This Row],[LineTotal]]=0,0,tblSales[[#This Row],[GrossProfit]]/tblSales[[#This Row],[LineTotal]])</f>
        <v>0.45454545454545453</v>
      </c>
      <c r="W139" s="2">
        <f>WEEKDAY(tblSales[[#This Row],[SaleDate]],2)</f>
        <v>2</v>
      </c>
    </row>
    <row r="140" spans="1:23" x14ac:dyDescent="0.45">
      <c r="A140" t="s">
        <v>451</v>
      </c>
      <c r="B140" t="s">
        <v>452</v>
      </c>
      <c r="C140" t="s">
        <v>453</v>
      </c>
      <c r="D140" t="s">
        <v>454</v>
      </c>
      <c r="F140" t="s">
        <v>49</v>
      </c>
      <c r="G140">
        <v>1</v>
      </c>
      <c r="H140">
        <v>62</v>
      </c>
      <c r="I140">
        <v>0</v>
      </c>
      <c r="J140" t="s">
        <v>60</v>
      </c>
      <c r="K140" t="s">
        <v>30</v>
      </c>
      <c r="L140">
        <f>(tblSales[[#This Row],[Quantity]]*tblSales[[#This Row],[UnitPrice]])-tblSales[[#This Row],[Discount]]</f>
        <v>62</v>
      </c>
      <c r="M140" s="3" t="str">
        <f>TEXT(tblSales[[#This Row],[SaleDate]],"mmm")</f>
        <v>May</v>
      </c>
      <c r="N140">
        <f>HOUR(tblSales[[#This Row],[SaleTime]])</f>
        <v>12</v>
      </c>
      <c r="O140" s="3" t="str">
        <f>TEXT(tblSales[[#This Row],[SaleDate]],"ddd")</f>
        <v>Wed</v>
      </c>
      <c r="P140" t="s">
        <v>51</v>
      </c>
      <c r="Q140" t="s">
        <v>52</v>
      </c>
      <c r="R140" t="s">
        <v>63</v>
      </c>
      <c r="S140">
        <v>34</v>
      </c>
      <c r="T140">
        <f>tblSales[[#This Row],[Quantity]]*tblSales[[#This Row],[CostPrice]]</f>
        <v>34</v>
      </c>
      <c r="U140">
        <f>tblSales[[#This Row],[LineTotal]]-tblSales[[#This Row],[LineCost]]</f>
        <v>28</v>
      </c>
      <c r="V140" s="1">
        <f>IF(tblSales[[#This Row],[LineTotal]]=0,0,tblSales[[#This Row],[GrossProfit]]/tblSales[[#This Row],[LineTotal]])</f>
        <v>0.45161290322580644</v>
      </c>
      <c r="W140" s="2">
        <f>WEEKDAY(tblSales[[#This Row],[SaleDate]],2)</f>
        <v>3</v>
      </c>
    </row>
    <row r="141" spans="1:23" x14ac:dyDescent="0.45">
      <c r="A141" t="s">
        <v>455</v>
      </c>
      <c r="B141" t="s">
        <v>452</v>
      </c>
      <c r="C141" t="s">
        <v>453</v>
      </c>
      <c r="D141" t="s">
        <v>454</v>
      </c>
      <c r="F141" t="s">
        <v>59</v>
      </c>
      <c r="G141">
        <v>2</v>
      </c>
      <c r="H141">
        <v>35</v>
      </c>
      <c r="I141">
        <v>0</v>
      </c>
      <c r="J141" t="s">
        <v>60</v>
      </c>
      <c r="K141" t="s">
        <v>30</v>
      </c>
      <c r="L141">
        <f>(tblSales[[#This Row],[Quantity]]*tblSales[[#This Row],[UnitPrice]])-tblSales[[#This Row],[Discount]]</f>
        <v>70</v>
      </c>
      <c r="M141" s="3" t="str">
        <f>TEXT(tblSales[[#This Row],[SaleDate]],"mmm")</f>
        <v>May</v>
      </c>
      <c r="N141">
        <f>HOUR(tblSales[[#This Row],[SaleTime]])</f>
        <v>12</v>
      </c>
      <c r="O141" s="3" t="str">
        <f>TEXT(tblSales[[#This Row],[SaleDate]],"ddd")</f>
        <v>Wed</v>
      </c>
      <c r="P141" t="s">
        <v>61</v>
      </c>
      <c r="Q141" t="s">
        <v>62</v>
      </c>
      <c r="R141" t="s">
        <v>63</v>
      </c>
      <c r="S141">
        <v>18</v>
      </c>
      <c r="T141">
        <f>tblSales[[#This Row],[Quantity]]*tblSales[[#This Row],[CostPrice]]</f>
        <v>36</v>
      </c>
      <c r="U141">
        <f>tblSales[[#This Row],[LineTotal]]-tblSales[[#This Row],[LineCost]]</f>
        <v>34</v>
      </c>
      <c r="V141" s="1">
        <f>IF(tblSales[[#This Row],[LineTotal]]=0,0,tblSales[[#This Row],[GrossProfit]]/tblSales[[#This Row],[LineTotal]])</f>
        <v>0.48571428571428571</v>
      </c>
      <c r="W141" s="2">
        <f>WEEKDAY(tblSales[[#This Row],[SaleDate]],2)</f>
        <v>3</v>
      </c>
    </row>
    <row r="142" spans="1:23" x14ac:dyDescent="0.45">
      <c r="A142" t="s">
        <v>456</v>
      </c>
      <c r="B142" t="s">
        <v>457</v>
      </c>
      <c r="C142" t="s">
        <v>458</v>
      </c>
      <c r="D142" t="s">
        <v>459</v>
      </c>
      <c r="E142" t="s">
        <v>213</v>
      </c>
      <c r="F142" t="s">
        <v>108</v>
      </c>
      <c r="G142">
        <v>1</v>
      </c>
      <c r="H142">
        <v>8</v>
      </c>
      <c r="I142">
        <v>0</v>
      </c>
      <c r="J142" t="s">
        <v>50</v>
      </c>
      <c r="K142" t="s">
        <v>86</v>
      </c>
      <c r="L142">
        <f>(tblSales[[#This Row],[Quantity]]*tblSales[[#This Row],[UnitPrice]])-tblSales[[#This Row],[Discount]]</f>
        <v>8</v>
      </c>
      <c r="M142" s="3" t="str">
        <f>TEXT(tblSales[[#This Row],[SaleDate]],"mmm")</f>
        <v>May</v>
      </c>
      <c r="N142">
        <f>HOUR(tblSales[[#This Row],[SaleTime]])</f>
        <v>19</v>
      </c>
      <c r="O142" s="3" t="str">
        <f>TEXT(tblSales[[#This Row],[SaleDate]],"ddd")</f>
        <v>Fri</v>
      </c>
      <c r="P142" t="s">
        <v>31</v>
      </c>
      <c r="Q142" t="s">
        <v>109</v>
      </c>
      <c r="R142" t="s">
        <v>53</v>
      </c>
      <c r="S142">
        <v>2</v>
      </c>
      <c r="T142">
        <f>tblSales[[#This Row],[Quantity]]*tblSales[[#This Row],[CostPrice]]</f>
        <v>2</v>
      </c>
      <c r="U142">
        <f>tblSales[[#This Row],[LineTotal]]-tblSales[[#This Row],[LineCost]]</f>
        <v>6</v>
      </c>
      <c r="V142" s="1">
        <f>IF(tblSales[[#This Row],[LineTotal]]=0,0,tblSales[[#This Row],[GrossProfit]]/tblSales[[#This Row],[LineTotal]])</f>
        <v>0.75</v>
      </c>
      <c r="W142" s="2">
        <f>WEEKDAY(tblSales[[#This Row],[SaleDate]],2)</f>
        <v>5</v>
      </c>
    </row>
    <row r="143" spans="1:23" x14ac:dyDescent="0.45">
      <c r="A143" t="s">
        <v>460</v>
      </c>
      <c r="B143" t="s">
        <v>461</v>
      </c>
      <c r="C143" t="s">
        <v>462</v>
      </c>
      <c r="D143" t="s">
        <v>463</v>
      </c>
      <c r="F143" t="s">
        <v>28</v>
      </c>
      <c r="G143">
        <v>1</v>
      </c>
      <c r="H143">
        <v>12</v>
      </c>
      <c r="I143">
        <v>0</v>
      </c>
      <c r="J143" t="s">
        <v>50</v>
      </c>
      <c r="K143" t="s">
        <v>30</v>
      </c>
      <c r="L143">
        <f>(tblSales[[#This Row],[Quantity]]*tblSales[[#This Row],[UnitPrice]])-tblSales[[#This Row],[Discount]]</f>
        <v>12</v>
      </c>
      <c r="M143" s="3" t="str">
        <f>TEXT(tblSales[[#This Row],[SaleDate]],"mmm")</f>
        <v>Jun</v>
      </c>
      <c r="N143">
        <f>HOUR(tblSales[[#This Row],[SaleTime]])</f>
        <v>19</v>
      </c>
      <c r="O143" s="3" t="str">
        <f>TEXT(tblSales[[#This Row],[SaleDate]],"ddd")</f>
        <v>Mon</v>
      </c>
      <c r="P143" t="s">
        <v>31</v>
      </c>
      <c r="Q143" t="s">
        <v>32</v>
      </c>
      <c r="R143" t="s">
        <v>53</v>
      </c>
      <c r="S143">
        <v>3</v>
      </c>
      <c r="T143">
        <f>tblSales[[#This Row],[Quantity]]*tblSales[[#This Row],[CostPrice]]</f>
        <v>3</v>
      </c>
      <c r="U143">
        <f>tblSales[[#This Row],[LineTotal]]-tblSales[[#This Row],[LineCost]]</f>
        <v>9</v>
      </c>
      <c r="V143" s="1">
        <f>IF(tblSales[[#This Row],[LineTotal]]=0,0,tblSales[[#This Row],[GrossProfit]]/tblSales[[#This Row],[LineTotal]])</f>
        <v>0.75</v>
      </c>
      <c r="W143" s="2">
        <f>WEEKDAY(tblSales[[#This Row],[SaleDate]],2)</f>
        <v>1</v>
      </c>
    </row>
    <row r="144" spans="1:23" x14ac:dyDescent="0.45">
      <c r="A144" t="s">
        <v>464</v>
      </c>
      <c r="B144" t="s">
        <v>461</v>
      </c>
      <c r="C144" t="s">
        <v>462</v>
      </c>
      <c r="D144" t="s">
        <v>463</v>
      </c>
      <c r="F144" t="s">
        <v>108</v>
      </c>
      <c r="G144">
        <v>1</v>
      </c>
      <c r="H144">
        <v>8</v>
      </c>
      <c r="I144">
        <v>0</v>
      </c>
      <c r="J144" t="s">
        <v>50</v>
      </c>
      <c r="K144" t="s">
        <v>30</v>
      </c>
      <c r="L144">
        <f>(tblSales[[#This Row],[Quantity]]*tblSales[[#This Row],[UnitPrice]])-tblSales[[#This Row],[Discount]]</f>
        <v>8</v>
      </c>
      <c r="M144" s="3" t="str">
        <f>TEXT(tblSales[[#This Row],[SaleDate]],"mmm")</f>
        <v>Jun</v>
      </c>
      <c r="N144">
        <f>HOUR(tblSales[[#This Row],[SaleTime]])</f>
        <v>19</v>
      </c>
      <c r="O144" s="3" t="str">
        <f>TEXT(tblSales[[#This Row],[SaleDate]],"ddd")</f>
        <v>Mon</v>
      </c>
      <c r="P144" t="s">
        <v>31</v>
      </c>
      <c r="Q144" t="s">
        <v>109</v>
      </c>
      <c r="R144" t="s">
        <v>53</v>
      </c>
      <c r="S144">
        <v>2</v>
      </c>
      <c r="T144">
        <f>tblSales[[#This Row],[Quantity]]*tblSales[[#This Row],[CostPrice]]</f>
        <v>2</v>
      </c>
      <c r="U144">
        <f>tblSales[[#This Row],[LineTotal]]-tblSales[[#This Row],[LineCost]]</f>
        <v>6</v>
      </c>
      <c r="V144" s="1">
        <f>IF(tblSales[[#This Row],[LineTotal]]=0,0,tblSales[[#This Row],[GrossProfit]]/tblSales[[#This Row],[LineTotal]])</f>
        <v>0.75</v>
      </c>
      <c r="W144" s="2">
        <f>WEEKDAY(tblSales[[#This Row],[SaleDate]],2)</f>
        <v>1</v>
      </c>
    </row>
    <row r="145" spans="1:23" x14ac:dyDescent="0.45">
      <c r="A145" t="s">
        <v>465</v>
      </c>
      <c r="B145" t="s">
        <v>461</v>
      </c>
      <c r="C145" t="s">
        <v>462</v>
      </c>
      <c r="D145" t="s">
        <v>463</v>
      </c>
      <c r="F145" t="s">
        <v>97</v>
      </c>
      <c r="G145">
        <v>2</v>
      </c>
      <c r="H145">
        <v>60</v>
      </c>
      <c r="I145">
        <v>0</v>
      </c>
      <c r="J145" t="s">
        <v>50</v>
      </c>
      <c r="K145" t="s">
        <v>30</v>
      </c>
      <c r="L145">
        <f>(tblSales[[#This Row],[Quantity]]*tblSales[[#This Row],[UnitPrice]])-tblSales[[#This Row],[Discount]]</f>
        <v>120</v>
      </c>
      <c r="M145" s="3" t="str">
        <f>TEXT(tblSales[[#This Row],[SaleDate]],"mmm")</f>
        <v>Jun</v>
      </c>
      <c r="N145">
        <f>HOUR(tblSales[[#This Row],[SaleTime]])</f>
        <v>19</v>
      </c>
      <c r="O145" s="3" t="str">
        <f>TEXT(tblSales[[#This Row],[SaleDate]],"ddd")</f>
        <v>Mon</v>
      </c>
      <c r="P145" t="s">
        <v>79</v>
      </c>
      <c r="Q145" t="s">
        <v>98</v>
      </c>
      <c r="R145" t="s">
        <v>53</v>
      </c>
      <c r="S145">
        <v>32</v>
      </c>
      <c r="T145">
        <f>tblSales[[#This Row],[Quantity]]*tblSales[[#This Row],[CostPrice]]</f>
        <v>64</v>
      </c>
      <c r="U145">
        <f>tblSales[[#This Row],[LineTotal]]-tblSales[[#This Row],[LineCost]]</f>
        <v>56</v>
      </c>
      <c r="V145" s="1">
        <f>IF(tblSales[[#This Row],[LineTotal]]=0,0,tblSales[[#This Row],[GrossProfit]]/tblSales[[#This Row],[LineTotal]])</f>
        <v>0.46666666666666667</v>
      </c>
      <c r="W145" s="2">
        <f>WEEKDAY(tblSales[[#This Row],[SaleDate]],2)</f>
        <v>1</v>
      </c>
    </row>
    <row r="146" spans="1:23" x14ac:dyDescent="0.45">
      <c r="A146" t="s">
        <v>466</v>
      </c>
      <c r="B146" t="s">
        <v>467</v>
      </c>
      <c r="C146" t="s">
        <v>468</v>
      </c>
      <c r="D146" t="s">
        <v>469</v>
      </c>
      <c r="E146" t="s">
        <v>274</v>
      </c>
      <c r="F146" t="s">
        <v>97</v>
      </c>
      <c r="G146">
        <v>1</v>
      </c>
      <c r="H146">
        <v>60</v>
      </c>
      <c r="I146">
        <v>0</v>
      </c>
      <c r="J146" t="s">
        <v>50</v>
      </c>
      <c r="K146" t="s">
        <v>30</v>
      </c>
      <c r="L146">
        <f>(tblSales[[#This Row],[Quantity]]*tblSales[[#This Row],[UnitPrice]])-tblSales[[#This Row],[Discount]]</f>
        <v>60</v>
      </c>
      <c r="M146" s="3" t="str">
        <f>TEXT(tblSales[[#This Row],[SaleDate]],"mmm")</f>
        <v>Jun</v>
      </c>
      <c r="N146">
        <f>HOUR(tblSales[[#This Row],[SaleTime]])</f>
        <v>12</v>
      </c>
      <c r="O146" s="3" t="str">
        <f>TEXT(tblSales[[#This Row],[SaleDate]],"ddd")</f>
        <v>Wed</v>
      </c>
      <c r="P146" t="s">
        <v>79</v>
      </c>
      <c r="Q146" t="s">
        <v>98</v>
      </c>
      <c r="R146" t="s">
        <v>53</v>
      </c>
      <c r="S146">
        <v>32</v>
      </c>
      <c r="T146">
        <f>tblSales[[#This Row],[Quantity]]*tblSales[[#This Row],[CostPrice]]</f>
        <v>32</v>
      </c>
      <c r="U146">
        <f>tblSales[[#This Row],[LineTotal]]-tblSales[[#This Row],[LineCost]]</f>
        <v>28</v>
      </c>
      <c r="V146" s="1">
        <f>IF(tblSales[[#This Row],[LineTotal]]=0,0,tblSales[[#This Row],[GrossProfit]]/tblSales[[#This Row],[LineTotal]])</f>
        <v>0.46666666666666667</v>
      </c>
      <c r="W146" s="2">
        <f>WEEKDAY(tblSales[[#This Row],[SaleDate]],2)</f>
        <v>3</v>
      </c>
    </row>
    <row r="147" spans="1:23" x14ac:dyDescent="0.45">
      <c r="A147" t="s">
        <v>470</v>
      </c>
      <c r="B147" t="s">
        <v>467</v>
      </c>
      <c r="C147" t="s">
        <v>468</v>
      </c>
      <c r="D147" t="s">
        <v>469</v>
      </c>
      <c r="E147" t="s">
        <v>274</v>
      </c>
      <c r="F147" t="s">
        <v>42</v>
      </c>
      <c r="G147">
        <v>1</v>
      </c>
      <c r="H147">
        <v>12</v>
      </c>
      <c r="I147">
        <v>0</v>
      </c>
      <c r="J147" t="s">
        <v>50</v>
      </c>
      <c r="K147" t="s">
        <v>30</v>
      </c>
      <c r="L147">
        <f>(tblSales[[#This Row],[Quantity]]*tblSales[[#This Row],[UnitPrice]])-tblSales[[#This Row],[Discount]]</f>
        <v>12</v>
      </c>
      <c r="M147" s="3" t="str">
        <f>TEXT(tblSales[[#This Row],[SaleDate]],"mmm")</f>
        <v>Jun</v>
      </c>
      <c r="N147">
        <f>HOUR(tblSales[[#This Row],[SaleTime]])</f>
        <v>12</v>
      </c>
      <c r="O147" s="3" t="str">
        <f>TEXT(tblSales[[#This Row],[SaleDate]],"ddd")</f>
        <v>Wed</v>
      </c>
      <c r="P147" t="s">
        <v>31</v>
      </c>
      <c r="Q147" t="s">
        <v>43</v>
      </c>
      <c r="R147" t="s">
        <v>53</v>
      </c>
      <c r="S147">
        <v>5</v>
      </c>
      <c r="T147">
        <f>tblSales[[#This Row],[Quantity]]*tblSales[[#This Row],[CostPrice]]</f>
        <v>5</v>
      </c>
      <c r="U147">
        <f>tblSales[[#This Row],[LineTotal]]-tblSales[[#This Row],[LineCost]]</f>
        <v>7</v>
      </c>
      <c r="V147" s="1">
        <f>IF(tblSales[[#This Row],[LineTotal]]=0,0,tblSales[[#This Row],[GrossProfit]]/tblSales[[#This Row],[LineTotal]])</f>
        <v>0.58333333333333337</v>
      </c>
      <c r="W147" s="2">
        <f>WEEKDAY(tblSales[[#This Row],[SaleDate]],2)</f>
        <v>3</v>
      </c>
    </row>
    <row r="148" spans="1:23" x14ac:dyDescent="0.45">
      <c r="A148" t="s">
        <v>471</v>
      </c>
      <c r="B148" t="s">
        <v>467</v>
      </c>
      <c r="C148" t="s">
        <v>468</v>
      </c>
      <c r="D148" t="s">
        <v>469</v>
      </c>
      <c r="E148" t="s">
        <v>274</v>
      </c>
      <c r="F148" t="s">
        <v>182</v>
      </c>
      <c r="G148">
        <v>2</v>
      </c>
      <c r="H148">
        <v>15</v>
      </c>
      <c r="I148">
        <v>0</v>
      </c>
      <c r="J148" t="s">
        <v>50</v>
      </c>
      <c r="K148" t="s">
        <v>30</v>
      </c>
      <c r="L148">
        <f>(tblSales[[#This Row],[Quantity]]*tblSales[[#This Row],[UnitPrice]])-tblSales[[#This Row],[Discount]]</f>
        <v>30</v>
      </c>
      <c r="M148" s="3" t="str">
        <f>TEXT(tblSales[[#This Row],[SaleDate]],"mmm")</f>
        <v>Jun</v>
      </c>
      <c r="N148">
        <f>HOUR(tblSales[[#This Row],[SaleTime]])</f>
        <v>12</v>
      </c>
      <c r="O148" s="3" t="str">
        <f>TEXT(tblSales[[#This Row],[SaleDate]],"ddd")</f>
        <v>Wed</v>
      </c>
      <c r="P148" t="s">
        <v>105</v>
      </c>
      <c r="Q148" t="s">
        <v>183</v>
      </c>
      <c r="R148" t="s">
        <v>53</v>
      </c>
      <c r="S148">
        <v>6</v>
      </c>
      <c r="T148">
        <f>tblSales[[#This Row],[Quantity]]*tblSales[[#This Row],[CostPrice]]</f>
        <v>12</v>
      </c>
      <c r="U148">
        <f>tblSales[[#This Row],[LineTotal]]-tblSales[[#This Row],[LineCost]]</f>
        <v>18</v>
      </c>
      <c r="V148" s="1">
        <f>IF(tblSales[[#This Row],[LineTotal]]=0,0,tblSales[[#This Row],[GrossProfit]]/tblSales[[#This Row],[LineTotal]])</f>
        <v>0.6</v>
      </c>
      <c r="W148" s="2">
        <f>WEEKDAY(tblSales[[#This Row],[SaleDate]],2)</f>
        <v>3</v>
      </c>
    </row>
    <row r="149" spans="1:23" x14ac:dyDescent="0.45">
      <c r="A149" t="s">
        <v>472</v>
      </c>
      <c r="B149" t="s">
        <v>473</v>
      </c>
      <c r="C149" t="s">
        <v>474</v>
      </c>
      <c r="D149" t="s">
        <v>475</v>
      </c>
      <c r="F149" t="s">
        <v>111</v>
      </c>
      <c r="G149">
        <v>1</v>
      </c>
      <c r="H149">
        <v>12</v>
      </c>
      <c r="I149">
        <v>5</v>
      </c>
      <c r="J149" t="s">
        <v>50</v>
      </c>
      <c r="K149" t="s">
        <v>30</v>
      </c>
      <c r="L149">
        <f>(tblSales[[#This Row],[Quantity]]*tblSales[[#This Row],[UnitPrice]])-tblSales[[#This Row],[Discount]]</f>
        <v>7</v>
      </c>
      <c r="M149" s="3" t="str">
        <f>TEXT(tblSales[[#This Row],[SaleDate]],"mmm")</f>
        <v>Jun</v>
      </c>
      <c r="N149">
        <f>HOUR(tblSales[[#This Row],[SaleTime]])</f>
        <v>21</v>
      </c>
      <c r="O149" s="3" t="str">
        <f>TEXT(tblSales[[#This Row],[SaleDate]],"ddd")</f>
        <v>Tue</v>
      </c>
      <c r="P149" t="s">
        <v>31</v>
      </c>
      <c r="Q149" t="s">
        <v>112</v>
      </c>
      <c r="R149" t="s">
        <v>53</v>
      </c>
      <c r="S149">
        <v>5</v>
      </c>
      <c r="T149">
        <f>tblSales[[#This Row],[Quantity]]*tblSales[[#This Row],[CostPrice]]</f>
        <v>5</v>
      </c>
      <c r="U149">
        <f>tblSales[[#This Row],[LineTotal]]-tblSales[[#This Row],[LineCost]]</f>
        <v>2</v>
      </c>
      <c r="V149" s="1">
        <f>IF(tblSales[[#This Row],[LineTotal]]=0,0,tblSales[[#This Row],[GrossProfit]]/tblSales[[#This Row],[LineTotal]])</f>
        <v>0.2857142857142857</v>
      </c>
      <c r="W149" s="2">
        <f>WEEKDAY(tblSales[[#This Row],[SaleDate]],2)</f>
        <v>2</v>
      </c>
    </row>
    <row r="150" spans="1:23" x14ac:dyDescent="0.45">
      <c r="A150" t="s">
        <v>476</v>
      </c>
      <c r="B150" t="s">
        <v>473</v>
      </c>
      <c r="C150" t="s">
        <v>474</v>
      </c>
      <c r="D150" t="s">
        <v>475</v>
      </c>
      <c r="F150" t="s">
        <v>78</v>
      </c>
      <c r="G150">
        <v>1</v>
      </c>
      <c r="H150">
        <v>72</v>
      </c>
      <c r="I150">
        <v>5</v>
      </c>
      <c r="J150" t="s">
        <v>50</v>
      </c>
      <c r="K150" t="s">
        <v>30</v>
      </c>
      <c r="L150">
        <f>(tblSales[[#This Row],[Quantity]]*tblSales[[#This Row],[UnitPrice]])-tblSales[[#This Row],[Discount]]</f>
        <v>67</v>
      </c>
      <c r="M150" s="3" t="str">
        <f>TEXT(tblSales[[#This Row],[SaleDate]],"mmm")</f>
        <v>Jun</v>
      </c>
      <c r="N150">
        <f>HOUR(tblSales[[#This Row],[SaleTime]])</f>
        <v>21</v>
      </c>
      <c r="O150" s="3" t="str">
        <f>TEXT(tblSales[[#This Row],[SaleDate]],"ddd")</f>
        <v>Tue</v>
      </c>
      <c r="P150" t="s">
        <v>79</v>
      </c>
      <c r="Q150" t="s">
        <v>80</v>
      </c>
      <c r="R150" t="s">
        <v>53</v>
      </c>
      <c r="S150">
        <v>38</v>
      </c>
      <c r="T150">
        <f>tblSales[[#This Row],[Quantity]]*tblSales[[#This Row],[CostPrice]]</f>
        <v>38</v>
      </c>
      <c r="U150">
        <f>tblSales[[#This Row],[LineTotal]]-tblSales[[#This Row],[LineCost]]</f>
        <v>29</v>
      </c>
      <c r="V150" s="1">
        <f>IF(tblSales[[#This Row],[LineTotal]]=0,0,tblSales[[#This Row],[GrossProfit]]/tblSales[[#This Row],[LineTotal]])</f>
        <v>0.43283582089552236</v>
      </c>
      <c r="W150" s="2">
        <f>WEEKDAY(tblSales[[#This Row],[SaleDate]],2)</f>
        <v>2</v>
      </c>
    </row>
    <row r="151" spans="1:23" x14ac:dyDescent="0.45">
      <c r="A151" t="s">
        <v>477</v>
      </c>
      <c r="B151" t="s">
        <v>478</v>
      </c>
      <c r="C151" t="s">
        <v>474</v>
      </c>
      <c r="D151" t="s">
        <v>479</v>
      </c>
      <c r="F151" t="s">
        <v>111</v>
      </c>
      <c r="G151">
        <v>1</v>
      </c>
      <c r="H151">
        <v>12</v>
      </c>
      <c r="I151">
        <v>5</v>
      </c>
      <c r="J151" t="s">
        <v>60</v>
      </c>
      <c r="K151" t="s">
        <v>30</v>
      </c>
      <c r="L151">
        <f>(tblSales[[#This Row],[Quantity]]*tblSales[[#This Row],[UnitPrice]])-tblSales[[#This Row],[Discount]]</f>
        <v>7</v>
      </c>
      <c r="M151" s="3" t="str">
        <f>TEXT(tblSales[[#This Row],[SaleDate]],"mmm")</f>
        <v>Jun</v>
      </c>
      <c r="N151">
        <f>HOUR(tblSales[[#This Row],[SaleTime]])</f>
        <v>20</v>
      </c>
      <c r="O151" s="3" t="str">
        <f>TEXT(tblSales[[#This Row],[SaleDate]],"ddd")</f>
        <v>Tue</v>
      </c>
      <c r="P151" t="s">
        <v>31</v>
      </c>
      <c r="Q151" t="s">
        <v>112</v>
      </c>
      <c r="R151" t="s">
        <v>63</v>
      </c>
      <c r="S151">
        <v>5</v>
      </c>
      <c r="T151">
        <f>tblSales[[#This Row],[Quantity]]*tblSales[[#This Row],[CostPrice]]</f>
        <v>5</v>
      </c>
      <c r="U151">
        <f>tblSales[[#This Row],[LineTotal]]-tblSales[[#This Row],[LineCost]]</f>
        <v>2</v>
      </c>
      <c r="V151" s="1">
        <f>IF(tblSales[[#This Row],[LineTotal]]=0,0,tblSales[[#This Row],[GrossProfit]]/tblSales[[#This Row],[LineTotal]])</f>
        <v>0.2857142857142857</v>
      </c>
      <c r="W151" s="2">
        <f>WEEKDAY(tblSales[[#This Row],[SaleDate]],2)</f>
        <v>2</v>
      </c>
    </row>
    <row r="152" spans="1:23" x14ac:dyDescent="0.45">
      <c r="A152" t="s">
        <v>480</v>
      </c>
      <c r="B152" t="s">
        <v>481</v>
      </c>
      <c r="C152" t="s">
        <v>482</v>
      </c>
      <c r="D152" t="s">
        <v>483</v>
      </c>
      <c r="E152" t="s">
        <v>213</v>
      </c>
      <c r="F152" t="s">
        <v>70</v>
      </c>
      <c r="G152">
        <v>2</v>
      </c>
      <c r="H152">
        <v>12</v>
      </c>
      <c r="I152">
        <v>0</v>
      </c>
      <c r="J152" t="s">
        <v>50</v>
      </c>
      <c r="K152" t="s">
        <v>86</v>
      </c>
      <c r="L152">
        <f>(tblSales[[#This Row],[Quantity]]*tblSales[[#This Row],[UnitPrice]])-tblSales[[#This Row],[Discount]]</f>
        <v>24</v>
      </c>
      <c r="M152" s="3" t="str">
        <f>TEXT(tblSales[[#This Row],[SaleDate]],"mmm")</f>
        <v>Jun</v>
      </c>
      <c r="N152">
        <f>HOUR(tblSales[[#This Row],[SaleTime]])</f>
        <v>13</v>
      </c>
      <c r="O152" s="3" t="str">
        <f>TEXT(tblSales[[#This Row],[SaleDate]],"ddd")</f>
        <v>Thu</v>
      </c>
      <c r="P152" t="s">
        <v>31</v>
      </c>
      <c r="Q152" t="s">
        <v>71</v>
      </c>
      <c r="R152" t="s">
        <v>53</v>
      </c>
      <c r="S152">
        <v>5</v>
      </c>
      <c r="T152">
        <f>tblSales[[#This Row],[Quantity]]*tblSales[[#This Row],[CostPrice]]</f>
        <v>10</v>
      </c>
      <c r="U152">
        <f>tblSales[[#This Row],[LineTotal]]-tblSales[[#This Row],[LineCost]]</f>
        <v>14</v>
      </c>
      <c r="V152" s="1">
        <f>IF(tblSales[[#This Row],[LineTotal]]=0,0,tblSales[[#This Row],[GrossProfit]]/tblSales[[#This Row],[LineTotal]])</f>
        <v>0.58333333333333337</v>
      </c>
      <c r="W152" s="2">
        <f>WEEKDAY(tblSales[[#This Row],[SaleDate]],2)</f>
        <v>4</v>
      </c>
    </row>
    <row r="153" spans="1:23" x14ac:dyDescent="0.45">
      <c r="A153" t="s">
        <v>484</v>
      </c>
      <c r="B153" t="s">
        <v>481</v>
      </c>
      <c r="C153" t="s">
        <v>482</v>
      </c>
      <c r="D153" t="s">
        <v>483</v>
      </c>
      <c r="E153" t="s">
        <v>213</v>
      </c>
      <c r="F153" t="s">
        <v>38</v>
      </c>
      <c r="G153">
        <v>2</v>
      </c>
      <c r="H153">
        <v>55</v>
      </c>
      <c r="I153">
        <v>0</v>
      </c>
      <c r="J153" t="s">
        <v>50</v>
      </c>
      <c r="K153" t="s">
        <v>86</v>
      </c>
      <c r="L153">
        <f>(tblSales[[#This Row],[Quantity]]*tblSales[[#This Row],[UnitPrice]])-tblSales[[#This Row],[Discount]]</f>
        <v>110</v>
      </c>
      <c r="M153" s="3" t="str">
        <f>TEXT(tblSales[[#This Row],[SaleDate]],"mmm")</f>
        <v>Jun</v>
      </c>
      <c r="N153">
        <f>HOUR(tblSales[[#This Row],[SaleTime]])</f>
        <v>13</v>
      </c>
      <c r="O153" s="3" t="str">
        <f>TEXT(tblSales[[#This Row],[SaleDate]],"ddd")</f>
        <v>Thu</v>
      </c>
      <c r="P153" t="s">
        <v>39</v>
      </c>
      <c r="Q153" t="s">
        <v>40</v>
      </c>
      <c r="R153" t="s">
        <v>53</v>
      </c>
      <c r="S153">
        <v>30</v>
      </c>
      <c r="T153">
        <f>tblSales[[#This Row],[Quantity]]*tblSales[[#This Row],[CostPrice]]</f>
        <v>60</v>
      </c>
      <c r="U153">
        <f>tblSales[[#This Row],[LineTotal]]-tblSales[[#This Row],[LineCost]]</f>
        <v>50</v>
      </c>
      <c r="V153" s="1">
        <f>IF(tblSales[[#This Row],[LineTotal]]=0,0,tblSales[[#This Row],[GrossProfit]]/tblSales[[#This Row],[LineTotal]])</f>
        <v>0.45454545454545453</v>
      </c>
      <c r="W153" s="2">
        <f>WEEKDAY(tblSales[[#This Row],[SaleDate]],2)</f>
        <v>4</v>
      </c>
    </row>
    <row r="154" spans="1:23" x14ac:dyDescent="0.45">
      <c r="A154" t="s">
        <v>485</v>
      </c>
      <c r="B154" t="s">
        <v>486</v>
      </c>
      <c r="C154" t="s">
        <v>482</v>
      </c>
      <c r="D154" t="s">
        <v>487</v>
      </c>
      <c r="E154" t="s">
        <v>344</v>
      </c>
      <c r="F154" t="s">
        <v>123</v>
      </c>
      <c r="G154">
        <v>1</v>
      </c>
      <c r="H154">
        <v>28</v>
      </c>
      <c r="I154">
        <v>0</v>
      </c>
      <c r="J154" t="s">
        <v>60</v>
      </c>
      <c r="K154" t="s">
        <v>86</v>
      </c>
      <c r="L154">
        <f>(tblSales[[#This Row],[Quantity]]*tblSales[[#This Row],[UnitPrice]])-tblSales[[#This Row],[Discount]]</f>
        <v>28</v>
      </c>
      <c r="M154" s="3" t="str">
        <f>TEXT(tblSales[[#This Row],[SaleDate]],"mmm")</f>
        <v>Jun</v>
      </c>
      <c r="N154">
        <f>HOUR(tblSales[[#This Row],[SaleTime]])</f>
        <v>13</v>
      </c>
      <c r="O154" s="3" t="str">
        <f>TEXT(tblSales[[#This Row],[SaleDate]],"ddd")</f>
        <v>Thu</v>
      </c>
      <c r="P154" t="s">
        <v>124</v>
      </c>
      <c r="Q154" t="s">
        <v>125</v>
      </c>
      <c r="R154" t="s">
        <v>63</v>
      </c>
      <c r="S154">
        <v>12</v>
      </c>
      <c r="T154">
        <f>tblSales[[#This Row],[Quantity]]*tblSales[[#This Row],[CostPrice]]</f>
        <v>12</v>
      </c>
      <c r="U154">
        <f>tblSales[[#This Row],[LineTotal]]-tblSales[[#This Row],[LineCost]]</f>
        <v>16</v>
      </c>
      <c r="V154" s="1">
        <f>IF(tblSales[[#This Row],[LineTotal]]=0,0,tblSales[[#This Row],[GrossProfit]]/tblSales[[#This Row],[LineTotal]])</f>
        <v>0.5714285714285714</v>
      </c>
      <c r="W154" s="2">
        <f>WEEKDAY(tblSales[[#This Row],[SaleDate]],2)</f>
        <v>4</v>
      </c>
    </row>
    <row r="155" spans="1:23" x14ac:dyDescent="0.45">
      <c r="A155" t="s">
        <v>488</v>
      </c>
      <c r="B155" t="s">
        <v>486</v>
      </c>
      <c r="C155" t="s">
        <v>482</v>
      </c>
      <c r="D155" t="s">
        <v>487</v>
      </c>
      <c r="E155" t="s">
        <v>344</v>
      </c>
      <c r="F155" t="s">
        <v>182</v>
      </c>
      <c r="G155">
        <v>1</v>
      </c>
      <c r="H155">
        <v>15</v>
      </c>
      <c r="I155">
        <v>0</v>
      </c>
      <c r="J155" t="s">
        <v>60</v>
      </c>
      <c r="K155" t="s">
        <v>86</v>
      </c>
      <c r="L155">
        <f>(tblSales[[#This Row],[Quantity]]*tblSales[[#This Row],[UnitPrice]])-tblSales[[#This Row],[Discount]]</f>
        <v>15</v>
      </c>
      <c r="M155" s="3" t="str">
        <f>TEXT(tblSales[[#This Row],[SaleDate]],"mmm")</f>
        <v>Jun</v>
      </c>
      <c r="N155">
        <f>HOUR(tblSales[[#This Row],[SaleTime]])</f>
        <v>13</v>
      </c>
      <c r="O155" s="3" t="str">
        <f>TEXT(tblSales[[#This Row],[SaleDate]],"ddd")</f>
        <v>Thu</v>
      </c>
      <c r="P155" t="s">
        <v>105</v>
      </c>
      <c r="Q155" t="s">
        <v>183</v>
      </c>
      <c r="R155" t="s">
        <v>63</v>
      </c>
      <c r="S155">
        <v>6</v>
      </c>
      <c r="T155">
        <f>tblSales[[#This Row],[Quantity]]*tblSales[[#This Row],[CostPrice]]</f>
        <v>6</v>
      </c>
      <c r="U155">
        <f>tblSales[[#This Row],[LineTotal]]-tblSales[[#This Row],[LineCost]]</f>
        <v>9</v>
      </c>
      <c r="V155" s="1">
        <f>IF(tblSales[[#This Row],[LineTotal]]=0,0,tblSales[[#This Row],[GrossProfit]]/tblSales[[#This Row],[LineTotal]])</f>
        <v>0.6</v>
      </c>
      <c r="W155" s="2">
        <f>WEEKDAY(tblSales[[#This Row],[SaleDate]],2)</f>
        <v>4</v>
      </c>
    </row>
    <row r="156" spans="1:23" x14ac:dyDescent="0.45">
      <c r="A156" t="s">
        <v>489</v>
      </c>
      <c r="B156" t="s">
        <v>490</v>
      </c>
      <c r="C156" t="s">
        <v>482</v>
      </c>
      <c r="D156" t="s">
        <v>491</v>
      </c>
      <c r="E156" t="s">
        <v>233</v>
      </c>
      <c r="F156" t="s">
        <v>182</v>
      </c>
      <c r="G156">
        <v>1</v>
      </c>
      <c r="H156">
        <v>15</v>
      </c>
      <c r="I156">
        <v>0</v>
      </c>
      <c r="J156" t="s">
        <v>60</v>
      </c>
      <c r="K156" t="s">
        <v>30</v>
      </c>
      <c r="L156">
        <f>(tblSales[[#This Row],[Quantity]]*tblSales[[#This Row],[UnitPrice]])-tblSales[[#This Row],[Discount]]</f>
        <v>15</v>
      </c>
      <c r="M156" s="3" t="str">
        <f>TEXT(tblSales[[#This Row],[SaleDate]],"mmm")</f>
        <v>Jun</v>
      </c>
      <c r="N156">
        <f>HOUR(tblSales[[#This Row],[SaleTime]])</f>
        <v>14</v>
      </c>
      <c r="O156" s="3" t="str">
        <f>TEXT(tblSales[[#This Row],[SaleDate]],"ddd")</f>
        <v>Thu</v>
      </c>
      <c r="P156" t="s">
        <v>105</v>
      </c>
      <c r="Q156" t="s">
        <v>183</v>
      </c>
      <c r="R156" t="s">
        <v>63</v>
      </c>
      <c r="S156">
        <v>6</v>
      </c>
      <c r="T156">
        <f>tblSales[[#This Row],[Quantity]]*tblSales[[#This Row],[CostPrice]]</f>
        <v>6</v>
      </c>
      <c r="U156">
        <f>tblSales[[#This Row],[LineTotal]]-tblSales[[#This Row],[LineCost]]</f>
        <v>9</v>
      </c>
      <c r="V156" s="1">
        <f>IF(tblSales[[#This Row],[LineTotal]]=0,0,tblSales[[#This Row],[GrossProfit]]/tblSales[[#This Row],[LineTotal]])</f>
        <v>0.6</v>
      </c>
      <c r="W156" s="2">
        <f>WEEKDAY(tblSales[[#This Row],[SaleDate]],2)</f>
        <v>4</v>
      </c>
    </row>
    <row r="157" spans="1:23" x14ac:dyDescent="0.45">
      <c r="A157" t="s">
        <v>492</v>
      </c>
      <c r="B157" t="s">
        <v>493</v>
      </c>
      <c r="C157" t="s">
        <v>494</v>
      </c>
      <c r="D157" t="s">
        <v>495</v>
      </c>
      <c r="E157" t="s">
        <v>274</v>
      </c>
      <c r="F157" t="s">
        <v>28</v>
      </c>
      <c r="G157">
        <v>1</v>
      </c>
      <c r="H157">
        <v>12</v>
      </c>
      <c r="I157">
        <v>0</v>
      </c>
      <c r="J157" t="s">
        <v>29</v>
      </c>
      <c r="K157" t="s">
        <v>86</v>
      </c>
      <c r="L157">
        <f>(tblSales[[#This Row],[Quantity]]*tblSales[[#This Row],[UnitPrice]])-tblSales[[#This Row],[Discount]]</f>
        <v>12</v>
      </c>
      <c r="M157" s="3" t="str">
        <f>TEXT(tblSales[[#This Row],[SaleDate]],"mmm")</f>
        <v>Jun</v>
      </c>
      <c r="N157">
        <f>HOUR(tblSales[[#This Row],[SaleTime]])</f>
        <v>14</v>
      </c>
      <c r="O157" s="3" t="str">
        <f>TEXT(tblSales[[#This Row],[SaleDate]],"ddd")</f>
        <v>Sat</v>
      </c>
      <c r="P157" t="s">
        <v>31</v>
      </c>
      <c r="Q157" t="s">
        <v>32</v>
      </c>
      <c r="R157" t="s">
        <v>33</v>
      </c>
      <c r="S157">
        <v>3</v>
      </c>
      <c r="T157">
        <f>tblSales[[#This Row],[Quantity]]*tblSales[[#This Row],[CostPrice]]</f>
        <v>3</v>
      </c>
      <c r="U157">
        <f>tblSales[[#This Row],[LineTotal]]-tblSales[[#This Row],[LineCost]]</f>
        <v>9</v>
      </c>
      <c r="V157" s="1">
        <f>IF(tblSales[[#This Row],[LineTotal]]=0,0,tblSales[[#This Row],[GrossProfit]]/tblSales[[#This Row],[LineTotal]])</f>
        <v>0.75</v>
      </c>
      <c r="W157" s="2">
        <f>WEEKDAY(tblSales[[#This Row],[SaleDate]],2)</f>
        <v>6</v>
      </c>
    </row>
    <row r="158" spans="1:23" x14ac:dyDescent="0.45">
      <c r="A158" t="s">
        <v>496</v>
      </c>
      <c r="B158" t="s">
        <v>493</v>
      </c>
      <c r="C158" t="s">
        <v>494</v>
      </c>
      <c r="D158" t="s">
        <v>495</v>
      </c>
      <c r="E158" t="s">
        <v>274</v>
      </c>
      <c r="F158" t="s">
        <v>104</v>
      </c>
      <c r="G158">
        <v>2</v>
      </c>
      <c r="H158">
        <v>18</v>
      </c>
      <c r="I158">
        <v>0</v>
      </c>
      <c r="J158" t="s">
        <v>29</v>
      </c>
      <c r="K158" t="s">
        <v>86</v>
      </c>
      <c r="L158">
        <f>(tblSales[[#This Row],[Quantity]]*tblSales[[#This Row],[UnitPrice]])-tblSales[[#This Row],[Discount]]</f>
        <v>36</v>
      </c>
      <c r="M158" s="3" t="str">
        <f>TEXT(tblSales[[#This Row],[SaleDate]],"mmm")</f>
        <v>Jun</v>
      </c>
      <c r="N158">
        <f>HOUR(tblSales[[#This Row],[SaleTime]])</f>
        <v>14</v>
      </c>
      <c r="O158" s="3" t="str">
        <f>TEXT(tblSales[[#This Row],[SaleDate]],"ddd")</f>
        <v>Sat</v>
      </c>
      <c r="P158" t="s">
        <v>105</v>
      </c>
      <c r="Q158" t="s">
        <v>106</v>
      </c>
      <c r="R158" t="s">
        <v>33</v>
      </c>
      <c r="S158">
        <v>8</v>
      </c>
      <c r="T158">
        <f>tblSales[[#This Row],[Quantity]]*tblSales[[#This Row],[CostPrice]]</f>
        <v>16</v>
      </c>
      <c r="U158">
        <f>tblSales[[#This Row],[LineTotal]]-tblSales[[#This Row],[LineCost]]</f>
        <v>20</v>
      </c>
      <c r="V158" s="1">
        <f>IF(tblSales[[#This Row],[LineTotal]]=0,0,tblSales[[#This Row],[GrossProfit]]/tblSales[[#This Row],[LineTotal]])</f>
        <v>0.55555555555555558</v>
      </c>
      <c r="W158" s="2">
        <f>WEEKDAY(tblSales[[#This Row],[SaleDate]],2)</f>
        <v>6</v>
      </c>
    </row>
    <row r="159" spans="1:23" x14ac:dyDescent="0.45">
      <c r="A159" t="s">
        <v>497</v>
      </c>
      <c r="B159" t="s">
        <v>498</v>
      </c>
      <c r="C159" t="s">
        <v>499</v>
      </c>
      <c r="D159" t="s">
        <v>500</v>
      </c>
      <c r="E159" t="s">
        <v>121</v>
      </c>
      <c r="F159" t="s">
        <v>59</v>
      </c>
      <c r="G159">
        <v>1</v>
      </c>
      <c r="H159">
        <v>35</v>
      </c>
      <c r="I159">
        <v>0</v>
      </c>
      <c r="J159" t="s">
        <v>29</v>
      </c>
      <c r="K159" t="s">
        <v>30</v>
      </c>
      <c r="L159">
        <f>(tblSales[[#This Row],[Quantity]]*tblSales[[#This Row],[UnitPrice]])-tblSales[[#This Row],[Discount]]</f>
        <v>35</v>
      </c>
      <c r="M159" s="3" t="str">
        <f>TEXT(tblSales[[#This Row],[SaleDate]],"mmm")</f>
        <v>Jun</v>
      </c>
      <c r="N159">
        <f>HOUR(tblSales[[#This Row],[SaleTime]])</f>
        <v>12</v>
      </c>
      <c r="O159" s="3" t="str">
        <f>TEXT(tblSales[[#This Row],[SaleDate]],"ddd")</f>
        <v>Tue</v>
      </c>
      <c r="P159" t="s">
        <v>61</v>
      </c>
      <c r="Q159" t="s">
        <v>62</v>
      </c>
      <c r="R159" t="s">
        <v>33</v>
      </c>
      <c r="S159">
        <v>18</v>
      </c>
      <c r="T159">
        <f>tblSales[[#This Row],[Quantity]]*tblSales[[#This Row],[CostPrice]]</f>
        <v>18</v>
      </c>
      <c r="U159">
        <f>tblSales[[#This Row],[LineTotal]]-tblSales[[#This Row],[LineCost]]</f>
        <v>17</v>
      </c>
      <c r="V159" s="1">
        <f>IF(tblSales[[#This Row],[LineTotal]]=0,0,tblSales[[#This Row],[GrossProfit]]/tblSales[[#This Row],[LineTotal]])</f>
        <v>0.48571428571428571</v>
      </c>
      <c r="W159" s="2">
        <f>WEEKDAY(tblSales[[#This Row],[SaleDate]],2)</f>
        <v>2</v>
      </c>
    </row>
    <row r="160" spans="1:23" x14ac:dyDescent="0.45">
      <c r="A160" t="s">
        <v>501</v>
      </c>
      <c r="B160" t="s">
        <v>502</v>
      </c>
      <c r="C160" t="s">
        <v>503</v>
      </c>
      <c r="D160" t="s">
        <v>120</v>
      </c>
      <c r="E160" t="s">
        <v>339</v>
      </c>
      <c r="F160" t="s">
        <v>197</v>
      </c>
      <c r="G160">
        <v>1</v>
      </c>
      <c r="H160">
        <v>28</v>
      </c>
      <c r="I160">
        <v>10</v>
      </c>
      <c r="J160" t="s">
        <v>29</v>
      </c>
      <c r="K160" t="s">
        <v>30</v>
      </c>
      <c r="L160">
        <f>(tblSales[[#This Row],[Quantity]]*tblSales[[#This Row],[UnitPrice]])-tblSales[[#This Row],[Discount]]</f>
        <v>18</v>
      </c>
      <c r="M160" s="3" t="str">
        <f>TEXT(tblSales[[#This Row],[SaleDate]],"mmm")</f>
        <v>Jun</v>
      </c>
      <c r="N160">
        <f>HOUR(tblSales[[#This Row],[SaleTime]])</f>
        <v>12</v>
      </c>
      <c r="O160" s="3" t="str">
        <f>TEXT(tblSales[[#This Row],[SaleDate]],"ddd")</f>
        <v>Fri</v>
      </c>
      <c r="P160" t="s">
        <v>105</v>
      </c>
      <c r="Q160" t="s">
        <v>198</v>
      </c>
      <c r="R160" t="s">
        <v>33</v>
      </c>
      <c r="S160">
        <v>12</v>
      </c>
      <c r="T160">
        <f>tblSales[[#This Row],[Quantity]]*tblSales[[#This Row],[CostPrice]]</f>
        <v>12</v>
      </c>
      <c r="U160">
        <f>tblSales[[#This Row],[LineTotal]]-tblSales[[#This Row],[LineCost]]</f>
        <v>6</v>
      </c>
      <c r="V160" s="1">
        <f>IF(tblSales[[#This Row],[LineTotal]]=0,0,tblSales[[#This Row],[GrossProfit]]/tblSales[[#This Row],[LineTotal]])</f>
        <v>0.33333333333333331</v>
      </c>
      <c r="W160" s="2">
        <f>WEEKDAY(tblSales[[#This Row],[SaleDate]],2)</f>
        <v>5</v>
      </c>
    </row>
    <row r="161" spans="1:23" x14ac:dyDescent="0.45">
      <c r="A161" t="s">
        <v>504</v>
      </c>
      <c r="B161" t="s">
        <v>505</v>
      </c>
      <c r="C161" t="s">
        <v>506</v>
      </c>
      <c r="D161" t="s">
        <v>507</v>
      </c>
      <c r="E161" t="s">
        <v>404</v>
      </c>
      <c r="F161" t="s">
        <v>38</v>
      </c>
      <c r="G161">
        <v>1</v>
      </c>
      <c r="H161">
        <v>55</v>
      </c>
      <c r="I161">
        <v>10</v>
      </c>
      <c r="J161" t="s">
        <v>50</v>
      </c>
      <c r="K161" t="s">
        <v>30</v>
      </c>
      <c r="L161">
        <f>(tblSales[[#This Row],[Quantity]]*tblSales[[#This Row],[UnitPrice]])-tblSales[[#This Row],[Discount]]</f>
        <v>45</v>
      </c>
      <c r="M161" s="3" t="str">
        <f>TEXT(tblSales[[#This Row],[SaleDate]],"mmm")</f>
        <v>Jun</v>
      </c>
      <c r="N161">
        <f>HOUR(tblSales[[#This Row],[SaleTime]])</f>
        <v>21</v>
      </c>
      <c r="O161" s="3" t="str">
        <f>TEXT(tblSales[[#This Row],[SaleDate]],"ddd")</f>
        <v>Sun</v>
      </c>
      <c r="P161" t="s">
        <v>39</v>
      </c>
      <c r="Q161" t="s">
        <v>40</v>
      </c>
      <c r="R161" t="s">
        <v>53</v>
      </c>
      <c r="S161">
        <v>30</v>
      </c>
      <c r="T161">
        <f>tblSales[[#This Row],[Quantity]]*tblSales[[#This Row],[CostPrice]]</f>
        <v>30</v>
      </c>
      <c r="U161">
        <f>tblSales[[#This Row],[LineTotal]]-tblSales[[#This Row],[LineCost]]</f>
        <v>15</v>
      </c>
      <c r="V161" s="1">
        <f>IF(tblSales[[#This Row],[LineTotal]]=0,0,tblSales[[#This Row],[GrossProfit]]/tblSales[[#This Row],[LineTotal]])</f>
        <v>0.33333333333333331</v>
      </c>
      <c r="W161" s="2">
        <f>WEEKDAY(tblSales[[#This Row],[SaleDate]],2)</f>
        <v>7</v>
      </c>
    </row>
    <row r="162" spans="1:23" x14ac:dyDescent="0.45">
      <c r="A162" t="s">
        <v>508</v>
      </c>
      <c r="B162" t="s">
        <v>509</v>
      </c>
      <c r="C162" t="s">
        <v>510</v>
      </c>
      <c r="D162" t="s">
        <v>511</v>
      </c>
      <c r="F162" t="s">
        <v>78</v>
      </c>
      <c r="G162">
        <v>2</v>
      </c>
      <c r="H162">
        <v>72</v>
      </c>
      <c r="I162">
        <v>5</v>
      </c>
      <c r="J162" t="s">
        <v>60</v>
      </c>
      <c r="K162" t="s">
        <v>30</v>
      </c>
      <c r="L162">
        <f>(tblSales[[#This Row],[Quantity]]*tblSales[[#This Row],[UnitPrice]])-tblSales[[#This Row],[Discount]]</f>
        <v>139</v>
      </c>
      <c r="M162" s="3" t="str">
        <f>TEXT(tblSales[[#This Row],[SaleDate]],"mmm")</f>
        <v>Jun</v>
      </c>
      <c r="N162">
        <f>HOUR(tblSales[[#This Row],[SaleTime]])</f>
        <v>20</v>
      </c>
      <c r="O162" s="3" t="str">
        <f>TEXT(tblSales[[#This Row],[SaleDate]],"ddd")</f>
        <v>Wed</v>
      </c>
      <c r="P162" t="s">
        <v>79</v>
      </c>
      <c r="Q162" t="s">
        <v>80</v>
      </c>
      <c r="R162" t="s">
        <v>63</v>
      </c>
      <c r="S162">
        <v>38</v>
      </c>
      <c r="T162">
        <f>tblSales[[#This Row],[Quantity]]*tblSales[[#This Row],[CostPrice]]</f>
        <v>76</v>
      </c>
      <c r="U162">
        <f>tblSales[[#This Row],[LineTotal]]-tblSales[[#This Row],[LineCost]]</f>
        <v>63</v>
      </c>
      <c r="V162" s="1">
        <f>IF(tblSales[[#This Row],[LineTotal]]=0,0,tblSales[[#This Row],[GrossProfit]]/tblSales[[#This Row],[LineTotal]])</f>
        <v>0.45323741007194246</v>
      </c>
      <c r="W162" s="2">
        <f>WEEKDAY(tblSales[[#This Row],[SaleDate]],2)</f>
        <v>3</v>
      </c>
    </row>
    <row r="163" spans="1:23" x14ac:dyDescent="0.45">
      <c r="A163" t="s">
        <v>512</v>
      </c>
      <c r="B163" t="s">
        <v>509</v>
      </c>
      <c r="C163" t="s">
        <v>510</v>
      </c>
      <c r="D163" t="s">
        <v>511</v>
      </c>
      <c r="F163" t="s">
        <v>123</v>
      </c>
      <c r="G163">
        <v>2</v>
      </c>
      <c r="H163">
        <v>28</v>
      </c>
      <c r="I163">
        <v>5</v>
      </c>
      <c r="J163" t="s">
        <v>60</v>
      </c>
      <c r="K163" t="s">
        <v>30</v>
      </c>
      <c r="L163">
        <f>(tblSales[[#This Row],[Quantity]]*tblSales[[#This Row],[UnitPrice]])-tblSales[[#This Row],[Discount]]</f>
        <v>51</v>
      </c>
      <c r="M163" s="3" t="str">
        <f>TEXT(tblSales[[#This Row],[SaleDate]],"mmm")</f>
        <v>Jun</v>
      </c>
      <c r="N163">
        <f>HOUR(tblSales[[#This Row],[SaleTime]])</f>
        <v>20</v>
      </c>
      <c r="O163" s="3" t="str">
        <f>TEXT(tblSales[[#This Row],[SaleDate]],"ddd")</f>
        <v>Wed</v>
      </c>
      <c r="P163" t="s">
        <v>124</v>
      </c>
      <c r="Q163" t="s">
        <v>125</v>
      </c>
      <c r="R163" t="s">
        <v>63</v>
      </c>
      <c r="S163">
        <v>12</v>
      </c>
      <c r="T163">
        <f>tblSales[[#This Row],[Quantity]]*tblSales[[#This Row],[CostPrice]]</f>
        <v>24</v>
      </c>
      <c r="U163">
        <f>tblSales[[#This Row],[LineTotal]]-tblSales[[#This Row],[LineCost]]</f>
        <v>27</v>
      </c>
      <c r="V163" s="1">
        <f>IF(tblSales[[#This Row],[LineTotal]]=0,0,tblSales[[#This Row],[GrossProfit]]/tblSales[[#This Row],[LineTotal]])</f>
        <v>0.52941176470588236</v>
      </c>
      <c r="W163" s="2">
        <f>WEEKDAY(tblSales[[#This Row],[SaleDate]],2)</f>
        <v>3</v>
      </c>
    </row>
    <row r="164" spans="1:23" x14ac:dyDescent="0.45">
      <c r="A164" t="s">
        <v>513</v>
      </c>
      <c r="B164" t="s">
        <v>514</v>
      </c>
      <c r="C164" t="s">
        <v>515</v>
      </c>
      <c r="D164" t="s">
        <v>516</v>
      </c>
      <c r="E164" t="s">
        <v>268</v>
      </c>
      <c r="F164" t="s">
        <v>182</v>
      </c>
      <c r="G164">
        <v>1</v>
      </c>
      <c r="H164">
        <v>15</v>
      </c>
      <c r="I164">
        <v>15</v>
      </c>
      <c r="J164" t="s">
        <v>29</v>
      </c>
      <c r="K164" t="s">
        <v>30</v>
      </c>
      <c r="L164">
        <f>(tblSales[[#This Row],[Quantity]]*tblSales[[#This Row],[UnitPrice]])-tblSales[[#This Row],[Discount]]</f>
        <v>0</v>
      </c>
      <c r="M164" s="3" t="str">
        <f>TEXT(tblSales[[#This Row],[SaleDate]],"mmm")</f>
        <v>Jun</v>
      </c>
      <c r="N164">
        <f>HOUR(tblSales[[#This Row],[SaleTime]])</f>
        <v>22</v>
      </c>
      <c r="O164" s="3" t="str">
        <f>TEXT(tblSales[[#This Row],[SaleDate]],"ddd")</f>
        <v>Thu</v>
      </c>
      <c r="P164" t="s">
        <v>105</v>
      </c>
      <c r="Q164" t="s">
        <v>183</v>
      </c>
      <c r="R164" t="s">
        <v>33</v>
      </c>
      <c r="S164">
        <v>6</v>
      </c>
      <c r="T164">
        <f>tblSales[[#This Row],[Quantity]]*tblSales[[#This Row],[CostPrice]]</f>
        <v>6</v>
      </c>
      <c r="U164">
        <f>tblSales[[#This Row],[LineTotal]]-tblSales[[#This Row],[LineCost]]</f>
        <v>-6</v>
      </c>
      <c r="V164" s="1">
        <f>IF(tblSales[[#This Row],[LineTotal]]=0,0,tblSales[[#This Row],[GrossProfit]]/tblSales[[#This Row],[LineTotal]])</f>
        <v>0</v>
      </c>
      <c r="W164" s="2">
        <f>WEEKDAY(tblSales[[#This Row],[SaleDate]],2)</f>
        <v>4</v>
      </c>
    </row>
    <row r="165" spans="1:23" x14ac:dyDescent="0.45">
      <c r="A165" t="s">
        <v>517</v>
      </c>
      <c r="B165" t="s">
        <v>518</v>
      </c>
      <c r="C165" t="s">
        <v>515</v>
      </c>
      <c r="D165" t="s">
        <v>519</v>
      </c>
      <c r="F165" t="s">
        <v>28</v>
      </c>
      <c r="G165">
        <v>2</v>
      </c>
      <c r="H165">
        <v>12</v>
      </c>
      <c r="I165">
        <v>0</v>
      </c>
      <c r="J165" t="s">
        <v>50</v>
      </c>
      <c r="K165" t="s">
        <v>30</v>
      </c>
      <c r="L165">
        <f>(tblSales[[#This Row],[Quantity]]*tblSales[[#This Row],[UnitPrice]])-tblSales[[#This Row],[Discount]]</f>
        <v>24</v>
      </c>
      <c r="M165" s="3" t="str">
        <f>TEXT(tblSales[[#This Row],[SaleDate]],"mmm")</f>
        <v>Jun</v>
      </c>
      <c r="N165">
        <f>HOUR(tblSales[[#This Row],[SaleTime]])</f>
        <v>22</v>
      </c>
      <c r="O165" s="3" t="str">
        <f>TEXT(tblSales[[#This Row],[SaleDate]],"ddd")</f>
        <v>Thu</v>
      </c>
      <c r="P165" t="s">
        <v>31</v>
      </c>
      <c r="Q165" t="s">
        <v>32</v>
      </c>
      <c r="R165" t="s">
        <v>53</v>
      </c>
      <c r="S165">
        <v>3</v>
      </c>
      <c r="T165">
        <f>tblSales[[#This Row],[Quantity]]*tblSales[[#This Row],[CostPrice]]</f>
        <v>6</v>
      </c>
      <c r="U165">
        <f>tblSales[[#This Row],[LineTotal]]-tblSales[[#This Row],[LineCost]]</f>
        <v>18</v>
      </c>
      <c r="V165" s="1">
        <f>IF(tblSales[[#This Row],[LineTotal]]=0,0,tblSales[[#This Row],[GrossProfit]]/tblSales[[#This Row],[LineTotal]])</f>
        <v>0.75</v>
      </c>
      <c r="W165" s="2">
        <f>WEEKDAY(tblSales[[#This Row],[SaleDate]],2)</f>
        <v>4</v>
      </c>
    </row>
    <row r="166" spans="1:23" x14ac:dyDescent="0.45">
      <c r="A166" t="s">
        <v>520</v>
      </c>
      <c r="B166" t="s">
        <v>521</v>
      </c>
      <c r="C166" t="s">
        <v>522</v>
      </c>
      <c r="D166" t="s">
        <v>523</v>
      </c>
      <c r="E166" t="s">
        <v>213</v>
      </c>
      <c r="F166" t="s">
        <v>49</v>
      </c>
      <c r="G166">
        <v>1</v>
      </c>
      <c r="H166">
        <v>62</v>
      </c>
      <c r="I166">
        <v>0</v>
      </c>
      <c r="J166" t="s">
        <v>50</v>
      </c>
      <c r="K166" t="s">
        <v>30</v>
      </c>
      <c r="L166">
        <f>(tblSales[[#This Row],[Quantity]]*tblSales[[#This Row],[UnitPrice]])-tblSales[[#This Row],[Discount]]</f>
        <v>62</v>
      </c>
      <c r="M166" s="3" t="str">
        <f>TEXT(tblSales[[#This Row],[SaleDate]],"mmm")</f>
        <v>Jun</v>
      </c>
      <c r="N166">
        <f>HOUR(tblSales[[#This Row],[SaleTime]])</f>
        <v>21</v>
      </c>
      <c r="O166" s="3" t="str">
        <f>TEXT(tblSales[[#This Row],[SaleDate]],"ddd")</f>
        <v>Fri</v>
      </c>
      <c r="P166" t="s">
        <v>51</v>
      </c>
      <c r="Q166" t="s">
        <v>52</v>
      </c>
      <c r="R166" t="s">
        <v>53</v>
      </c>
      <c r="S166">
        <v>34</v>
      </c>
      <c r="T166">
        <f>tblSales[[#This Row],[Quantity]]*tblSales[[#This Row],[CostPrice]]</f>
        <v>34</v>
      </c>
      <c r="U166">
        <f>tblSales[[#This Row],[LineTotal]]-tblSales[[#This Row],[LineCost]]</f>
        <v>28</v>
      </c>
      <c r="V166" s="1">
        <f>IF(tblSales[[#This Row],[LineTotal]]=0,0,tblSales[[#This Row],[GrossProfit]]/tblSales[[#This Row],[LineTotal]])</f>
        <v>0.45161290322580644</v>
      </c>
      <c r="W166" s="2">
        <f>WEEKDAY(tblSales[[#This Row],[SaleDate]],2)</f>
        <v>5</v>
      </c>
    </row>
    <row r="167" spans="1:23" x14ac:dyDescent="0.45">
      <c r="A167" t="s">
        <v>524</v>
      </c>
      <c r="B167" t="s">
        <v>525</v>
      </c>
      <c r="C167" t="s">
        <v>522</v>
      </c>
      <c r="D167" t="s">
        <v>368</v>
      </c>
      <c r="E167" t="s">
        <v>77</v>
      </c>
      <c r="F167" t="s">
        <v>182</v>
      </c>
      <c r="G167">
        <v>1</v>
      </c>
      <c r="H167">
        <v>15</v>
      </c>
      <c r="I167">
        <v>0</v>
      </c>
      <c r="J167" t="s">
        <v>50</v>
      </c>
      <c r="K167" t="s">
        <v>30</v>
      </c>
      <c r="L167">
        <f>(tblSales[[#This Row],[Quantity]]*tblSales[[#This Row],[UnitPrice]])-tblSales[[#This Row],[Discount]]</f>
        <v>15</v>
      </c>
      <c r="M167" s="3" t="str">
        <f>TEXT(tblSales[[#This Row],[SaleDate]],"mmm")</f>
        <v>Jun</v>
      </c>
      <c r="N167">
        <f>HOUR(tblSales[[#This Row],[SaleTime]])</f>
        <v>20</v>
      </c>
      <c r="O167" s="3" t="str">
        <f>TEXT(tblSales[[#This Row],[SaleDate]],"ddd")</f>
        <v>Fri</v>
      </c>
      <c r="P167" t="s">
        <v>105</v>
      </c>
      <c r="Q167" t="s">
        <v>183</v>
      </c>
      <c r="R167" t="s">
        <v>53</v>
      </c>
      <c r="S167">
        <v>6</v>
      </c>
      <c r="T167">
        <f>tblSales[[#This Row],[Quantity]]*tblSales[[#This Row],[CostPrice]]</f>
        <v>6</v>
      </c>
      <c r="U167">
        <f>tblSales[[#This Row],[LineTotal]]-tblSales[[#This Row],[LineCost]]</f>
        <v>9</v>
      </c>
      <c r="V167" s="1">
        <f>IF(tblSales[[#This Row],[LineTotal]]=0,0,tblSales[[#This Row],[GrossProfit]]/tblSales[[#This Row],[LineTotal]])</f>
        <v>0.6</v>
      </c>
      <c r="W167" s="2">
        <f>WEEKDAY(tblSales[[#This Row],[SaleDate]],2)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el mghari</dc:creator>
  <cp:lastModifiedBy>ismail el mghari</cp:lastModifiedBy>
  <dcterms:created xsi:type="dcterms:W3CDTF">2026-07-31T19:45:59Z</dcterms:created>
  <dcterms:modified xsi:type="dcterms:W3CDTF">2026-07-31T19:46:28Z</dcterms:modified>
</cp:coreProperties>
</file>